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checkCompatibility="1"/>
  <bookViews>
    <workbookView xWindow="2385" yWindow="-165" windowWidth="15360" windowHeight="9060" activeTab="1"/>
  </bookViews>
  <sheets>
    <sheet name="Enter your data here" sheetId="4" r:id="rId1"/>
    <sheet name="H1, P2" sheetId="8" r:id="rId2"/>
  </sheets>
  <calcPr calcId="125725" concurrentCalc="0"/>
</workbook>
</file>

<file path=xl/calcChain.xml><?xml version="1.0" encoding="utf-8"?>
<calcChain xmlns="http://schemas.openxmlformats.org/spreadsheetml/2006/main">
  <c r="J100" i="4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48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48"/>
  <c r="H31"/>
  <c r="O9"/>
  <c r="H10"/>
  <c r="L9"/>
  <c r="N9"/>
  <c r="H9"/>
  <c r="L10"/>
  <c r="H11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H12"/>
  <c r="H13"/>
  <c r="H14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H15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H16"/>
  <c r="H17"/>
  <c r="H18"/>
  <c r="H19"/>
  <c r="V18"/>
  <c r="W18"/>
  <c r="X18"/>
  <c r="H20"/>
  <c r="H21"/>
  <c r="H22"/>
  <c r="V21"/>
  <c r="W21"/>
  <c r="X21"/>
  <c r="Y21"/>
  <c r="H23"/>
  <c r="V22"/>
  <c r="W22"/>
  <c r="X22"/>
  <c r="Y22"/>
  <c r="Z22"/>
  <c r="H24"/>
  <c r="H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V24"/>
  <c r="H26"/>
  <c r="H27"/>
  <c r="V26"/>
  <c r="W26"/>
  <c r="X26"/>
  <c r="H28"/>
  <c r="V28"/>
  <c r="H29"/>
  <c r="H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I30"/>
  <c r="H32"/>
  <c r="H33"/>
  <c r="H34"/>
  <c r="H35"/>
  <c r="V35"/>
  <c r="W35"/>
  <c r="X35"/>
  <c r="H36"/>
  <c r="H37"/>
  <c r="H38"/>
  <c r="H39"/>
  <c r="V39"/>
  <c r="W39"/>
  <c r="X39"/>
  <c r="Y39"/>
  <c r="Z39"/>
  <c r="AA39"/>
  <c r="H40"/>
  <c r="H41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I40"/>
  <c r="H42"/>
  <c r="H43"/>
  <c r="H44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I43"/>
  <c r="H45"/>
  <c r="H46"/>
  <c r="H47"/>
  <c r="V47"/>
  <c r="W47"/>
  <c r="X47"/>
  <c r="Y47"/>
  <c r="H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H49"/>
  <c r="H50"/>
  <c r="H51"/>
  <c r="H52"/>
  <c r="V51"/>
  <c r="W51"/>
  <c r="H53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H54"/>
  <c r="H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H56"/>
  <c r="H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H58"/>
  <c r="H59"/>
  <c r="V59"/>
  <c r="W59"/>
  <c r="H60"/>
  <c r="H61"/>
  <c r="H62"/>
  <c r="H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H64"/>
  <c r="H65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H66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H67"/>
  <c r="H68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H69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H70"/>
  <c r="V69"/>
  <c r="H71"/>
  <c r="H72"/>
  <c r="H73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H74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H75"/>
  <c r="H76"/>
  <c r="H77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H78"/>
  <c r="V77"/>
  <c r="H79"/>
  <c r="V78"/>
  <c r="H80"/>
  <c r="H81"/>
  <c r="V80"/>
  <c r="W80"/>
  <c r="H82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H83"/>
  <c r="H84"/>
  <c r="V83"/>
  <c r="W83"/>
  <c r="H85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H86"/>
  <c r="H87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H88"/>
  <c r="V87"/>
  <c r="H89"/>
  <c r="H90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H91"/>
  <c r="H92"/>
  <c r="H93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H94"/>
  <c r="H95"/>
  <c r="V94"/>
  <c r="W94"/>
  <c r="X94"/>
  <c r="Y94"/>
  <c r="H96"/>
  <c r="V95"/>
  <c r="H97"/>
  <c r="V96"/>
  <c r="H98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H99"/>
  <c r="H100"/>
  <c r="V99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48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J6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I36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I33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I49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I41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I44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I32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I27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I38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I42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I50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I4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I34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I29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I45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I37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I28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I35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I31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I47"/>
  <c r="AB39"/>
  <c r="AC39"/>
  <c r="AD39"/>
  <c r="AE39"/>
  <c r="AF39"/>
  <c r="AG39"/>
  <c r="AH39"/>
  <c r="AI39"/>
  <c r="AJ39"/>
  <c r="AK39"/>
  <c r="AL39"/>
  <c r="AM39"/>
  <c r="AN39"/>
  <c r="AO39"/>
  <c r="AP39"/>
  <c r="AQ39"/>
  <c r="I39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I20"/>
  <c r="J20"/>
  <c r="J26"/>
  <c r="I26"/>
  <c r="J13"/>
  <c r="I13"/>
  <c r="J21"/>
  <c r="I21"/>
  <c r="I14"/>
  <c r="J14"/>
  <c r="I10"/>
  <c r="J10"/>
  <c r="J17"/>
  <c r="I17"/>
  <c r="J9"/>
  <c r="I9"/>
  <c r="I16"/>
  <c r="J16"/>
  <c r="J23"/>
  <c r="I23"/>
  <c r="J24"/>
  <c r="I24"/>
  <c r="J11"/>
  <c r="I11"/>
  <c r="J12"/>
  <c r="I12"/>
  <c r="J22"/>
  <c r="I22"/>
  <c r="J18"/>
  <c r="I18"/>
  <c r="I19"/>
  <c r="J19"/>
  <c r="I25"/>
  <c r="J25"/>
  <c r="J15"/>
  <c r="I15"/>
  <c r="R10"/>
  <c r="Q10"/>
  <c r="S10"/>
  <c r="M10"/>
  <c r="N10"/>
  <c r="L11"/>
  <c r="K11"/>
  <c r="T9"/>
  <c r="K10"/>
  <c r="P10"/>
  <c r="O10"/>
  <c r="R11"/>
  <c r="Q11"/>
  <c r="S11"/>
  <c r="M11"/>
  <c r="N11"/>
  <c r="L12"/>
  <c r="K12"/>
  <c r="T10"/>
  <c r="O11"/>
  <c r="P11"/>
  <c r="T11"/>
  <c r="R12"/>
  <c r="Q12"/>
  <c r="S12"/>
  <c r="M12"/>
  <c r="N12"/>
  <c r="P12"/>
  <c r="L13"/>
  <c r="K13"/>
  <c r="O12"/>
  <c r="T12"/>
  <c r="R13"/>
  <c r="Q13"/>
  <c r="S13"/>
  <c r="M13"/>
  <c r="N13"/>
  <c r="P13"/>
  <c r="L14"/>
  <c r="K14"/>
  <c r="O13"/>
  <c r="T13"/>
  <c r="R14"/>
  <c r="Q14"/>
  <c r="S14"/>
  <c r="M14"/>
  <c r="N14"/>
  <c r="O14"/>
  <c r="L15"/>
  <c r="K15"/>
  <c r="P14"/>
  <c r="T14"/>
  <c r="R15"/>
  <c r="Q15"/>
  <c r="S15"/>
  <c r="M15"/>
  <c r="N15"/>
  <c r="P15"/>
  <c r="O15"/>
  <c r="L16"/>
  <c r="K16"/>
  <c r="R16"/>
  <c r="Q16"/>
  <c r="S16"/>
  <c r="M16"/>
  <c r="N16"/>
  <c r="T15"/>
  <c r="P16"/>
  <c r="O16"/>
  <c r="L17"/>
  <c r="K17"/>
  <c r="T16"/>
  <c r="R17"/>
  <c r="Q17"/>
  <c r="S17"/>
  <c r="M17"/>
  <c r="N17"/>
  <c r="P17"/>
  <c r="O17"/>
  <c r="L18"/>
  <c r="K18"/>
  <c r="T17"/>
  <c r="R18"/>
  <c r="Q18"/>
  <c r="S18"/>
  <c r="M18"/>
  <c r="N18"/>
  <c r="P18"/>
  <c r="O18"/>
  <c r="L19"/>
  <c r="K19"/>
  <c r="T18"/>
  <c r="R19"/>
  <c r="Q19"/>
  <c r="S19"/>
  <c r="M19"/>
  <c r="N19"/>
  <c r="O19"/>
  <c r="L20"/>
  <c r="K20"/>
  <c r="P19"/>
  <c r="R20"/>
  <c r="Q20"/>
  <c r="S20"/>
  <c r="M20"/>
  <c r="N20"/>
  <c r="T19"/>
  <c r="O20"/>
  <c r="L21"/>
  <c r="K21"/>
  <c r="P20"/>
  <c r="T20"/>
  <c r="R21"/>
  <c r="Q21"/>
  <c r="S21"/>
  <c r="M21"/>
  <c r="N21"/>
  <c r="O21"/>
  <c r="L22"/>
  <c r="K22"/>
  <c r="P21"/>
  <c r="R22"/>
  <c r="Q22"/>
  <c r="S22"/>
  <c r="M22"/>
  <c r="N22"/>
  <c r="T21"/>
  <c r="L23"/>
  <c r="K23"/>
  <c r="O22"/>
  <c r="P22"/>
  <c r="T22"/>
  <c r="R23"/>
  <c r="Q23"/>
  <c r="S23"/>
  <c r="M23"/>
  <c r="N23"/>
  <c r="P23"/>
  <c r="O23"/>
  <c r="L24"/>
  <c r="K24"/>
  <c r="R24"/>
  <c r="Q24"/>
  <c r="S24"/>
  <c r="M24"/>
  <c r="N24"/>
  <c r="T23"/>
  <c r="P24"/>
  <c r="L25"/>
  <c r="K25"/>
  <c r="O24"/>
  <c r="T24"/>
  <c r="R25"/>
  <c r="Q25"/>
  <c r="S25"/>
  <c r="M25"/>
  <c r="N25"/>
  <c r="P25"/>
  <c r="O25"/>
  <c r="L26"/>
  <c r="K26"/>
  <c r="T25"/>
  <c r="R26"/>
  <c r="Q26"/>
  <c r="S26"/>
  <c r="M26"/>
  <c r="N26"/>
  <c r="P26"/>
  <c r="L27"/>
  <c r="K27"/>
  <c r="J27"/>
  <c r="O26"/>
  <c r="T26"/>
  <c r="R27"/>
  <c r="Q27"/>
  <c r="S27"/>
  <c r="M27"/>
  <c r="N27"/>
  <c r="P27"/>
  <c r="L28"/>
  <c r="K28"/>
  <c r="J28"/>
  <c r="O27"/>
  <c r="R28"/>
  <c r="Q28"/>
  <c r="S28"/>
  <c r="M28"/>
  <c r="N28"/>
  <c r="T27"/>
  <c r="O28"/>
  <c r="L29"/>
  <c r="K29"/>
  <c r="J29"/>
  <c r="P28"/>
  <c r="T28"/>
  <c r="R29"/>
  <c r="Q29"/>
  <c r="S29"/>
  <c r="M29"/>
  <c r="N29"/>
  <c r="O29"/>
  <c r="L30"/>
  <c r="K30"/>
  <c r="J30"/>
  <c r="P29"/>
  <c r="T29"/>
  <c r="R30"/>
  <c r="Q30"/>
  <c r="S30"/>
  <c r="M30"/>
  <c r="N30"/>
  <c r="O30"/>
  <c r="L31"/>
  <c r="K31"/>
  <c r="J31"/>
  <c r="P30"/>
  <c r="T30"/>
  <c r="R31"/>
  <c r="Q31"/>
  <c r="S31"/>
  <c r="M31"/>
  <c r="N31"/>
  <c r="O31"/>
  <c r="L32"/>
  <c r="K32"/>
  <c r="J32"/>
  <c r="P31"/>
  <c r="R32"/>
  <c r="Q32"/>
  <c r="S32"/>
  <c r="M32"/>
  <c r="N32"/>
  <c r="T31"/>
  <c r="L33"/>
  <c r="K33"/>
  <c r="J33"/>
  <c r="O32"/>
  <c r="P32"/>
  <c r="R33"/>
  <c r="Q33"/>
  <c r="S33"/>
  <c r="M33"/>
  <c r="N33"/>
  <c r="T32"/>
  <c r="P33"/>
  <c r="L34"/>
  <c r="K34"/>
  <c r="J34"/>
  <c r="O33"/>
  <c r="R34"/>
  <c r="Q34"/>
  <c r="S34"/>
  <c r="M34"/>
  <c r="N34"/>
  <c r="T33"/>
  <c r="L35"/>
  <c r="K35"/>
  <c r="J35"/>
  <c r="O34"/>
  <c r="P34"/>
  <c r="T34"/>
  <c r="R35"/>
  <c r="Q35"/>
  <c r="S35"/>
  <c r="M35"/>
  <c r="N35"/>
  <c r="O35"/>
  <c r="L36"/>
  <c r="K36"/>
  <c r="P35"/>
  <c r="T35"/>
  <c r="R36"/>
  <c r="Q36"/>
  <c r="S36"/>
  <c r="M36"/>
  <c r="N36"/>
  <c r="J36"/>
  <c r="P36"/>
  <c r="L37"/>
  <c r="K37"/>
  <c r="J37"/>
  <c r="O36"/>
  <c r="T36"/>
  <c r="R37"/>
  <c r="Q37"/>
  <c r="S37"/>
  <c r="M37"/>
  <c r="N37"/>
  <c r="P37"/>
  <c r="O37"/>
  <c r="L38"/>
  <c r="K38"/>
  <c r="J38"/>
  <c r="T37"/>
  <c r="R38"/>
  <c r="Q38"/>
  <c r="S38"/>
  <c r="M38"/>
  <c r="N38"/>
  <c r="O38"/>
  <c r="L39"/>
  <c r="K39"/>
  <c r="J39"/>
  <c r="P38"/>
  <c r="R39"/>
  <c r="Q39"/>
  <c r="S39"/>
  <c r="M39"/>
  <c r="N39"/>
  <c r="T38"/>
  <c r="P39"/>
  <c r="L40"/>
  <c r="K40"/>
  <c r="J40"/>
  <c r="O39"/>
  <c r="R40"/>
  <c r="Q40"/>
  <c r="S40"/>
  <c r="M40"/>
  <c r="N40"/>
  <c r="T39"/>
  <c r="O40"/>
  <c r="L41"/>
  <c r="K41"/>
  <c r="P40"/>
  <c r="J41"/>
  <c r="T40"/>
  <c r="R41"/>
  <c r="Q41"/>
  <c r="S41"/>
  <c r="M41"/>
  <c r="N41"/>
  <c r="P41"/>
  <c r="L42"/>
  <c r="K42"/>
  <c r="J42"/>
  <c r="O41"/>
  <c r="T41"/>
  <c r="R42"/>
  <c r="Q42"/>
  <c r="S42"/>
  <c r="M42"/>
  <c r="N42"/>
  <c r="P42"/>
  <c r="O42"/>
  <c r="L43"/>
  <c r="K43"/>
  <c r="J43"/>
  <c r="R43"/>
  <c r="Q43"/>
  <c r="S43"/>
  <c r="M43"/>
  <c r="N43"/>
  <c r="T42"/>
  <c r="O43"/>
  <c r="L44"/>
  <c r="K44"/>
  <c r="J44"/>
  <c r="P43"/>
  <c r="T43"/>
  <c r="R44"/>
  <c r="Q44"/>
  <c r="S44"/>
  <c r="M44"/>
  <c r="N44"/>
  <c r="L45"/>
  <c r="K45"/>
  <c r="J45"/>
  <c r="O44"/>
  <c r="P44"/>
  <c r="T44"/>
  <c r="R45"/>
  <c r="Q45"/>
  <c r="S45"/>
  <c r="M45"/>
  <c r="N45"/>
  <c r="P45"/>
  <c r="L46"/>
  <c r="K46"/>
  <c r="J46"/>
  <c r="O45"/>
  <c r="T45"/>
  <c r="R46"/>
  <c r="Q46"/>
  <c r="S46"/>
  <c r="M46"/>
  <c r="N46"/>
  <c r="L47"/>
  <c r="K47"/>
  <c r="J47"/>
  <c r="O46"/>
  <c r="P46"/>
  <c r="T46"/>
  <c r="R47"/>
  <c r="Q47"/>
  <c r="S47"/>
  <c r="M47"/>
  <c r="N47"/>
  <c r="O47"/>
  <c r="L48"/>
  <c r="P47"/>
  <c r="T47"/>
  <c r="R48"/>
  <c r="Q48"/>
  <c r="S48"/>
  <c r="M48"/>
  <c r="P48"/>
  <c r="N48"/>
  <c r="L49"/>
  <c r="K49"/>
  <c r="J49"/>
  <c r="O48"/>
  <c r="T48"/>
  <c r="R49"/>
  <c r="Q49"/>
  <c r="S49"/>
  <c r="M49"/>
  <c r="N49"/>
  <c r="P49"/>
  <c r="O49"/>
  <c r="L50"/>
  <c r="K50"/>
  <c r="J50"/>
  <c r="T49"/>
  <c r="R50"/>
  <c r="Q50"/>
  <c r="S50"/>
  <c r="M50"/>
  <c r="N50"/>
  <c r="O50"/>
  <c r="L51"/>
  <c r="P50"/>
  <c r="R51"/>
  <c r="Q51"/>
  <c r="S51"/>
  <c r="M51"/>
  <c r="T50"/>
  <c r="P51"/>
  <c r="N51"/>
  <c r="O51"/>
  <c r="L52"/>
  <c r="R52"/>
  <c r="Q52"/>
  <c r="S52"/>
  <c r="M52"/>
  <c r="T51"/>
  <c r="P52"/>
  <c r="N52"/>
  <c r="O52"/>
  <c r="L53"/>
  <c r="T52"/>
  <c r="R53"/>
  <c r="Q53"/>
  <c r="S53"/>
  <c r="M53"/>
  <c r="P53"/>
  <c r="N53"/>
  <c r="L54"/>
  <c r="O53"/>
  <c r="R54"/>
  <c r="Q54"/>
  <c r="S54"/>
  <c r="M54"/>
  <c r="T53"/>
  <c r="P54"/>
  <c r="N54"/>
  <c r="L55"/>
  <c r="O54"/>
  <c r="T54"/>
  <c r="R55"/>
  <c r="Q55"/>
  <c r="S55"/>
  <c r="M55"/>
  <c r="P55"/>
  <c r="N55"/>
  <c r="O55"/>
  <c r="L56"/>
  <c r="T55"/>
  <c r="R56"/>
  <c r="Q56"/>
  <c r="S56"/>
  <c r="M56"/>
  <c r="P56"/>
  <c r="N56"/>
  <c r="L57"/>
  <c r="O56"/>
  <c r="R57"/>
  <c r="Q57"/>
  <c r="S57"/>
  <c r="M57"/>
  <c r="T56"/>
  <c r="P57"/>
  <c r="N57"/>
  <c r="L58"/>
  <c r="O57"/>
  <c r="T57"/>
  <c r="R58"/>
  <c r="Q58"/>
  <c r="S58"/>
  <c r="M58"/>
  <c r="P58"/>
  <c r="N58"/>
  <c r="L59"/>
  <c r="O58"/>
  <c r="T58"/>
  <c r="R59"/>
  <c r="Q59"/>
  <c r="S59"/>
  <c r="M59"/>
  <c r="P59"/>
  <c r="N59"/>
  <c r="O59"/>
  <c r="L60"/>
  <c r="T59"/>
  <c r="R60"/>
  <c r="Q60"/>
  <c r="S60"/>
  <c r="M60"/>
  <c r="P60"/>
  <c r="N60"/>
  <c r="O60"/>
  <c r="L61"/>
  <c r="T60"/>
  <c r="R61"/>
  <c r="Q61"/>
  <c r="S61"/>
  <c r="M61"/>
  <c r="N61"/>
  <c r="P61"/>
  <c r="O61"/>
  <c r="L62"/>
  <c r="R62"/>
  <c r="Q62"/>
  <c r="S62"/>
  <c r="M62"/>
  <c r="T61"/>
  <c r="N62"/>
  <c r="P62"/>
  <c r="L63"/>
  <c r="O62"/>
  <c r="T62"/>
  <c r="R63"/>
  <c r="Q63"/>
  <c r="S63"/>
  <c r="M63"/>
  <c r="N63"/>
  <c r="P63"/>
  <c r="O63"/>
  <c r="L64"/>
  <c r="R64"/>
  <c r="Q64"/>
  <c r="S64"/>
  <c r="M64"/>
  <c r="T63"/>
  <c r="P64"/>
  <c r="N64"/>
  <c r="L65"/>
  <c r="O64"/>
  <c r="R65"/>
  <c r="Q65"/>
  <c r="S65"/>
  <c r="M65"/>
  <c r="T64"/>
  <c r="N65"/>
  <c r="P65"/>
  <c r="L66"/>
  <c r="O65"/>
  <c r="T65"/>
  <c r="R66"/>
  <c r="Q66"/>
  <c r="S66"/>
  <c r="M66"/>
  <c r="P66"/>
  <c r="N66"/>
  <c r="O66"/>
  <c r="L67"/>
  <c r="R67"/>
  <c r="Q67"/>
  <c r="S67"/>
  <c r="M67"/>
  <c r="T66"/>
  <c r="P67"/>
  <c r="N67"/>
  <c r="O67"/>
  <c r="L68"/>
  <c r="R68"/>
  <c r="Q68"/>
  <c r="S68"/>
  <c r="M68"/>
  <c r="T67"/>
  <c r="P68"/>
  <c r="N68"/>
  <c r="O68"/>
  <c r="L69"/>
  <c r="T68"/>
  <c r="R69"/>
  <c r="Q69"/>
  <c r="S69"/>
  <c r="M69"/>
  <c r="P69"/>
  <c r="N69"/>
  <c r="L70"/>
  <c r="O69"/>
  <c r="R70"/>
  <c r="Q70"/>
  <c r="S70"/>
  <c r="M70"/>
  <c r="T69"/>
  <c r="N70"/>
  <c r="P70"/>
  <c r="L71"/>
  <c r="O70"/>
  <c r="R71"/>
  <c r="Q71"/>
  <c r="S71"/>
  <c r="M71"/>
  <c r="T70"/>
  <c r="P71"/>
  <c r="N71"/>
  <c r="O71"/>
  <c r="L72"/>
  <c r="T71"/>
  <c r="R72"/>
  <c r="Q72"/>
  <c r="S72"/>
  <c r="M72"/>
  <c r="P72"/>
  <c r="N72"/>
  <c r="L73"/>
  <c r="O72"/>
  <c r="R73"/>
  <c r="Q73"/>
  <c r="S73"/>
  <c r="M73"/>
  <c r="T72"/>
  <c r="N73"/>
  <c r="P73"/>
  <c r="L74"/>
  <c r="O73"/>
  <c r="R74"/>
  <c r="Q74"/>
  <c r="S74"/>
  <c r="M74"/>
  <c r="T73"/>
  <c r="N74"/>
  <c r="P74"/>
  <c r="O74"/>
  <c r="L75"/>
  <c r="R75"/>
  <c r="Q75"/>
  <c r="S75"/>
  <c r="M75"/>
  <c r="T74"/>
  <c r="P75"/>
  <c r="N75"/>
  <c r="O75"/>
  <c r="L76"/>
  <c r="T75"/>
  <c r="R76"/>
  <c r="Q76"/>
  <c r="S76"/>
  <c r="M76"/>
  <c r="P76"/>
  <c r="N76"/>
  <c r="O76"/>
  <c r="L77"/>
  <c r="T76"/>
  <c r="R77"/>
  <c r="Q77"/>
  <c r="S77"/>
  <c r="M77"/>
  <c r="N77"/>
  <c r="P77"/>
  <c r="L78"/>
  <c r="O77"/>
  <c r="T77"/>
  <c r="R78"/>
  <c r="Q78"/>
  <c r="S78"/>
  <c r="M78"/>
  <c r="N78"/>
  <c r="P78"/>
  <c r="L79"/>
  <c r="O78"/>
  <c r="T78"/>
  <c r="R79"/>
  <c r="Q79"/>
  <c r="S79"/>
  <c r="M79"/>
  <c r="P79"/>
  <c r="N79"/>
  <c r="O79"/>
  <c r="L80"/>
  <c r="R80"/>
  <c r="Q80"/>
  <c r="S80"/>
  <c r="M80"/>
  <c r="T79"/>
  <c r="P80"/>
  <c r="N80"/>
  <c r="L81"/>
  <c r="O80"/>
  <c r="R81"/>
  <c r="Q81"/>
  <c r="S81"/>
  <c r="M81"/>
  <c r="T80"/>
  <c r="N81"/>
  <c r="P81"/>
  <c r="L82"/>
  <c r="O81"/>
  <c r="T81"/>
  <c r="R82"/>
  <c r="Q82"/>
  <c r="S82"/>
  <c r="M82"/>
  <c r="P82"/>
  <c r="N82"/>
  <c r="L83"/>
  <c r="O82"/>
  <c r="T82"/>
  <c r="R83"/>
  <c r="Q83"/>
  <c r="S83"/>
  <c r="M83"/>
  <c r="P83"/>
  <c r="N83"/>
  <c r="L84"/>
  <c r="O83"/>
  <c r="R84"/>
  <c r="Q84"/>
  <c r="S84"/>
  <c r="M84"/>
  <c r="T83"/>
  <c r="P84"/>
  <c r="N84"/>
  <c r="L85"/>
  <c r="O84"/>
  <c r="T84"/>
  <c r="R85"/>
  <c r="Q85"/>
  <c r="S85"/>
  <c r="M85"/>
  <c r="P85"/>
  <c r="N85"/>
  <c r="L86"/>
  <c r="O85"/>
  <c r="T85"/>
  <c r="R86"/>
  <c r="Q86"/>
  <c r="S86"/>
  <c r="M86"/>
  <c r="P86"/>
  <c r="N86"/>
  <c r="L87"/>
  <c r="O86"/>
  <c r="R87"/>
  <c r="Q87"/>
  <c r="S87"/>
  <c r="M87"/>
  <c r="T86"/>
  <c r="N87"/>
  <c r="P87"/>
  <c r="O87"/>
  <c r="L88"/>
  <c r="T87"/>
  <c r="R88"/>
  <c r="Q88"/>
  <c r="S88"/>
  <c r="M88"/>
  <c r="P88"/>
  <c r="N88"/>
  <c r="L89"/>
  <c r="O88"/>
  <c r="R89"/>
  <c r="Q89"/>
  <c r="S89"/>
  <c r="M89"/>
  <c r="T88"/>
  <c r="N89"/>
  <c r="P89"/>
  <c r="L90"/>
  <c r="O89"/>
  <c r="R90"/>
  <c r="Q90"/>
  <c r="S90"/>
  <c r="M90"/>
  <c r="T89"/>
  <c r="P90"/>
  <c r="N90"/>
  <c r="L91"/>
  <c r="O90"/>
  <c r="T90"/>
  <c r="R91"/>
  <c r="Q91"/>
  <c r="S91"/>
  <c r="M91"/>
  <c r="P91"/>
  <c r="N91"/>
  <c r="L92"/>
  <c r="O91"/>
  <c r="T91"/>
  <c r="R92"/>
  <c r="Q92"/>
  <c r="S92"/>
  <c r="M92"/>
  <c r="P92"/>
  <c r="N92"/>
  <c r="L93"/>
  <c r="O92"/>
  <c r="R93"/>
  <c r="Q93"/>
  <c r="S93"/>
  <c r="M93"/>
  <c r="T92"/>
  <c r="N93"/>
  <c r="P93"/>
  <c r="L94"/>
  <c r="O93"/>
  <c r="T93"/>
  <c r="R94"/>
  <c r="Q94"/>
  <c r="S94"/>
  <c r="M94"/>
  <c r="P94"/>
  <c r="N94"/>
  <c r="L95"/>
  <c r="O94"/>
  <c r="T94"/>
  <c r="R95"/>
  <c r="Q95"/>
  <c r="S95"/>
  <c r="M95"/>
  <c r="N95"/>
  <c r="P95"/>
  <c r="L96"/>
  <c r="O95"/>
  <c r="T95"/>
  <c r="R96"/>
  <c r="Q96"/>
  <c r="S96"/>
  <c r="M96"/>
  <c r="P96"/>
  <c r="N96"/>
  <c r="L97"/>
  <c r="O96"/>
  <c r="T96"/>
  <c r="R97"/>
  <c r="Q97"/>
  <c r="S97"/>
  <c r="M97"/>
  <c r="P97"/>
  <c r="N97"/>
  <c r="L98"/>
  <c r="O97"/>
  <c r="T97"/>
  <c r="R98"/>
  <c r="Q98"/>
  <c r="S98"/>
  <c r="M98"/>
  <c r="P98"/>
  <c r="N98"/>
  <c r="O98"/>
  <c r="L99"/>
  <c r="R99"/>
  <c r="Q99"/>
  <c r="S99"/>
  <c r="M99"/>
  <c r="T98"/>
  <c r="P99"/>
  <c r="N99"/>
  <c r="L100"/>
  <c r="O99"/>
  <c r="R100"/>
  <c r="Q100"/>
  <c r="S100"/>
  <c r="M100"/>
  <c r="T99"/>
  <c r="P100"/>
  <c r="N100"/>
  <c r="O100"/>
  <c r="T100"/>
</calcChain>
</file>

<file path=xl/sharedStrings.xml><?xml version="1.0" encoding="utf-8"?>
<sst xmlns="http://schemas.openxmlformats.org/spreadsheetml/2006/main" count="24" uniqueCount="22">
  <si>
    <t>Dist.</t>
  </si>
  <si>
    <t>Elevation</t>
  </si>
  <si>
    <t>Depth</t>
  </si>
  <si>
    <t>Offshore Length</t>
  </si>
  <si>
    <t>Local Length</t>
  </si>
  <si>
    <t>n</t>
  </si>
  <si>
    <t>C</t>
  </si>
  <si>
    <t>Ks</t>
  </si>
  <si>
    <t>Shoaled Height</t>
  </si>
  <si>
    <t>Kf</t>
  </si>
  <si>
    <t>Friction</t>
  </si>
  <si>
    <t>Friction Height</t>
  </si>
  <si>
    <t>Ratio</t>
  </si>
  <si>
    <t>Sed Size</t>
  </si>
  <si>
    <t>Amplitude</t>
  </si>
  <si>
    <t>Orbital Velocity</t>
  </si>
  <si>
    <t>Offshore Height</t>
  </si>
  <si>
    <t>Wave Period</t>
  </si>
  <si>
    <t>m</t>
  </si>
  <si>
    <t>s</t>
  </si>
  <si>
    <t>Hs h-1</t>
  </si>
  <si>
    <t>Wave Height</t>
  </si>
</sst>
</file>

<file path=xl/styles.xml><?xml version="1.0" encoding="utf-8"?>
<styleSheet xmlns="http://schemas.openxmlformats.org/spreadsheetml/2006/main">
  <fonts count="5">
    <font>
      <sz val="10"/>
      <name val="Arial"/>
    </font>
    <font>
      <b/>
      <sz val="10"/>
      <name val="Arial"/>
      <family val="2"/>
    </font>
    <font>
      <sz val="10"/>
      <name val="Arial"/>
    </font>
    <font>
      <u/>
      <sz val="10"/>
      <color indexed="12"/>
      <name val="Arial"/>
      <family val="2"/>
    </font>
    <font>
      <sz val="16"/>
      <color indexed="8"/>
      <name val="Arial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1" fillId="0" borderId="1" xfId="0" applyFont="1" applyBorder="1"/>
    <xf numFmtId="0" fontId="0" fillId="2" borderId="2" xfId="0" applyFill="1" applyBorder="1"/>
    <xf numFmtId="0" fontId="0" fillId="2" borderId="3" xfId="0" applyFill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0" xfId="0" applyBorder="1"/>
    <xf numFmtId="0" fontId="0" fillId="0" borderId="0" xfId="0" applyFill="1" applyBorder="1"/>
    <xf numFmtId="0" fontId="0" fillId="3" borderId="0" xfId="0" applyFill="1"/>
    <xf numFmtId="0" fontId="1" fillId="3" borderId="0" xfId="0" applyFont="1" applyFill="1"/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3" fillId="3" borderId="0" xfId="1" applyFill="1" applyAlignment="1" applyProtection="1"/>
    <xf numFmtId="0" fontId="0" fillId="3" borderId="0" xfId="0" applyNumberFormat="1" applyFill="1"/>
    <xf numFmtId="0" fontId="1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467130426676687"/>
          <c:y val="4.5676998368678633E-2"/>
          <c:w val="0.79652238253792085"/>
          <c:h val="0.81239804241435565"/>
        </c:manualLayout>
      </c:layout>
      <c:scatterChart>
        <c:scatterStyle val="smoothMarker"/>
        <c:ser>
          <c:idx val="0"/>
          <c:order val="0"/>
          <c:tx>
            <c:strRef>
              <c:f>'Enter your data here'!$B$8</c:f>
              <c:strCache>
                <c:ptCount val="1"/>
                <c:pt idx="0">
                  <c:v>Elevation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here'!$B$9:$B$100</c:f>
              <c:numCache>
                <c:formatCode>General</c:formatCode>
                <c:ptCount val="92"/>
                <c:pt idx="0">
                  <c:v>-2.72</c:v>
                </c:pt>
                <c:pt idx="1">
                  <c:v>-2.4950000000000001</c:v>
                </c:pt>
                <c:pt idx="2">
                  <c:v>-2.27</c:v>
                </c:pt>
                <c:pt idx="3">
                  <c:v>-2.0449999999999999</c:v>
                </c:pt>
                <c:pt idx="4">
                  <c:v>-1.82</c:v>
                </c:pt>
                <c:pt idx="5">
                  <c:v>-1.595</c:v>
                </c:pt>
                <c:pt idx="6">
                  <c:v>-1.37</c:v>
                </c:pt>
                <c:pt idx="7">
                  <c:v>-1.22</c:v>
                </c:pt>
                <c:pt idx="8">
                  <c:v>-1.19</c:v>
                </c:pt>
                <c:pt idx="9">
                  <c:v>-1.4</c:v>
                </c:pt>
                <c:pt idx="10">
                  <c:v>-1.85</c:v>
                </c:pt>
                <c:pt idx="11">
                  <c:v>-1.92</c:v>
                </c:pt>
                <c:pt idx="12">
                  <c:v>-1.77</c:v>
                </c:pt>
                <c:pt idx="13">
                  <c:v>-1.5219999999999998</c:v>
                </c:pt>
                <c:pt idx="14">
                  <c:v>-1.19</c:v>
                </c:pt>
                <c:pt idx="15">
                  <c:v>-0.89</c:v>
                </c:pt>
                <c:pt idx="16">
                  <c:v>-0.68</c:v>
                </c:pt>
                <c:pt idx="17">
                  <c:v>-0.65</c:v>
                </c:pt>
                <c:pt idx="18">
                  <c:v>-0.56999999999999995</c:v>
                </c:pt>
                <c:pt idx="19">
                  <c:v>-0.55000000000000004</c:v>
                </c:pt>
                <c:pt idx="20">
                  <c:v>-0.59</c:v>
                </c:pt>
                <c:pt idx="21">
                  <c:v>-0.65500000000000003</c:v>
                </c:pt>
                <c:pt idx="22">
                  <c:v>-0.64</c:v>
                </c:pt>
                <c:pt idx="23">
                  <c:v>-0.72899999999999965</c:v>
                </c:pt>
                <c:pt idx="24">
                  <c:v>-0.69899999999999984</c:v>
                </c:pt>
                <c:pt idx="25">
                  <c:v>-0.629</c:v>
                </c:pt>
                <c:pt idx="26">
                  <c:v>-0.48899999999999988</c:v>
                </c:pt>
                <c:pt idx="27">
                  <c:v>-0.35899999999999999</c:v>
                </c:pt>
                <c:pt idx="28">
                  <c:v>-0.22899999999999965</c:v>
                </c:pt>
                <c:pt idx="29">
                  <c:v>-0.24899999999999967</c:v>
                </c:pt>
                <c:pt idx="30">
                  <c:v>-0.30899999999999972</c:v>
                </c:pt>
                <c:pt idx="31">
                  <c:v>-0.379</c:v>
                </c:pt>
                <c:pt idx="32">
                  <c:v>-0.379</c:v>
                </c:pt>
                <c:pt idx="33">
                  <c:v>-0.31899999999999995</c:v>
                </c:pt>
                <c:pt idx="34">
                  <c:v>-0.18900000000000006</c:v>
                </c:pt>
                <c:pt idx="35">
                  <c:v>-9.8999999999999755E-2</c:v>
                </c:pt>
                <c:pt idx="36">
                  <c:v>-0.10899999999999999</c:v>
                </c:pt>
                <c:pt idx="37">
                  <c:v>-9.8999999999999755E-2</c:v>
                </c:pt>
                <c:pt idx="38">
                  <c:v>-4.8999999999999932E-2</c:v>
                </c:pt>
                <c:pt idx="39">
                  <c:v>3.6000000000000032E-2</c:v>
                </c:pt>
                <c:pt idx="40">
                  <c:v>-8.999999999999897E-3</c:v>
                </c:pt>
                <c:pt idx="41">
                  <c:v>-8.999999999999897E-3</c:v>
                </c:pt>
                <c:pt idx="42">
                  <c:v>0.18100000000000005</c:v>
                </c:pt>
                <c:pt idx="43">
                  <c:v>0.33099999999999974</c:v>
                </c:pt>
                <c:pt idx="44">
                  <c:v>0.48599999999999999</c:v>
                </c:pt>
                <c:pt idx="45">
                  <c:v>0.63100000000000001</c:v>
                </c:pt>
                <c:pt idx="46">
                  <c:v>0.77200000000000002</c:v>
                </c:pt>
                <c:pt idx="47">
                  <c:v>0.97599999999999998</c:v>
                </c:pt>
                <c:pt idx="48">
                  <c:v>1.27</c:v>
                </c:pt>
                <c:pt idx="49">
                  <c:v>1.5489999999999999</c:v>
                </c:pt>
                <c:pt idx="50">
                  <c:v>1.819</c:v>
                </c:pt>
                <c:pt idx="51">
                  <c:v>2.0579999999999998</c:v>
                </c:pt>
                <c:pt idx="52">
                  <c:v>2.2999999999999998</c:v>
                </c:pt>
              </c:numCache>
            </c:numRef>
          </c:yVal>
          <c:smooth val="1"/>
        </c:ser>
        <c:axId val="65960576"/>
        <c:axId val="65979520"/>
      </c:scatterChart>
      <c:scatterChart>
        <c:scatterStyle val="smoothMarker"/>
        <c:ser>
          <c:idx val="1"/>
          <c:order val="1"/>
          <c:tx>
            <c:strRef>
              <c:f>'Enter your data here'!$K$8</c:f>
              <c:strCache>
                <c:ptCount val="1"/>
                <c:pt idx="0">
                  <c:v>Ks</c:v>
                </c:pt>
              </c:strCache>
            </c:strRef>
          </c:tx>
          <c:spPr>
            <a:ln w="12700">
              <a:solidFill>
                <a:srgbClr val="F20884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here'!$K$9:$K$100</c:f>
              <c:numCache>
                <c:formatCode>General</c:formatCode>
                <c:ptCount val="92"/>
                <c:pt idx="1">
                  <c:v>1.02182044628109</c:v>
                </c:pt>
                <c:pt idx="2">
                  <c:v>1.0463067071206718</c:v>
                </c:pt>
                <c:pt idx="3">
                  <c:v>1.0740834251895348</c:v>
                </c:pt>
                <c:pt idx="4">
                  <c:v>1.1060733702670653</c:v>
                </c:pt>
                <c:pt idx="5">
                  <c:v>1.1436421662064034</c:v>
                </c:pt>
                <c:pt idx="6">
                  <c:v>1.1889254738925568</c:v>
                </c:pt>
                <c:pt idx="7">
                  <c:v>1.2259344306820417</c:v>
                </c:pt>
                <c:pt idx="8">
                  <c:v>1.2374259496818734</c:v>
                </c:pt>
                <c:pt idx="9">
                  <c:v>1.1951239452149069</c:v>
                </c:pt>
                <c:pt idx="10">
                  <c:v>1.1162258952729127</c:v>
                </c:pt>
                <c:pt idx="11">
                  <c:v>1.1064367527808721</c:v>
                </c:pt>
                <c:pt idx="12">
                  <c:v>1.1301247432217874</c:v>
                </c:pt>
                <c:pt idx="13">
                  <c:v>1.1740270700129047</c:v>
                </c:pt>
                <c:pt idx="14">
                  <c:v>1.2499866674653601</c:v>
                </c:pt>
                <c:pt idx="15">
                  <c:v>1.3484311440666565</c:v>
                </c:pt>
                <c:pt idx="16">
                  <c:v>1.4569407250352628</c:v>
                </c:pt>
                <c:pt idx="17">
                  <c:v>1.5032554535604454</c:v>
                </c:pt>
                <c:pt idx="18">
                  <c:v>1.5681697649168733</c:v>
                </c:pt>
                <c:pt idx="19">
                  <c:v>1.6212825227787269</c:v>
                </c:pt>
                <c:pt idx="20">
                  <c:v>1.622060966841085</c:v>
                </c:pt>
                <c:pt idx="21">
                  <c:v>1.5973180291455191</c:v>
                </c:pt>
                <c:pt idx="22">
                  <c:v>1.6266969732134717</c:v>
                </c:pt>
                <c:pt idx="23">
                  <c:v>1.574598270169451</c:v>
                </c:pt>
                <c:pt idx="24">
                  <c:v>1.6047320313674707</c:v>
                </c:pt>
                <c:pt idx="25">
                  <c:v>1.6865402132231579</c:v>
                </c:pt>
                <c:pt idx="26">
                  <c:v>1.8328119062802504</c:v>
                </c:pt>
                <c:pt idx="27">
                  <c:v>2.0285931921642608</c:v>
                </c:pt>
                <c:pt idx="28">
                  <c:v>2.4767363727612342</c:v>
                </c:pt>
                <c:pt idx="29">
                  <c:v>4.2497039606410931</c:v>
                </c:pt>
                <c:pt idx="30">
                  <c:v>5.786913751234855</c:v>
                </c:pt>
                <c:pt idx="31">
                  <c:v>6.692590848985879</c:v>
                </c:pt>
                <c:pt idx="32">
                  <c:v>7.5527084711512567</c:v>
                </c:pt>
                <c:pt idx="33">
                  <c:v>10.198257691054009</c:v>
                </c:pt>
                <c:pt idx="34">
                  <c:v>25.939268855515945</c:v>
                </c:pt>
                <c:pt idx="35">
                  <c:v>-4.7882235099079686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'Enter your data here'!$M$8</c:f>
              <c:strCache>
                <c:ptCount val="1"/>
                <c:pt idx="0">
                  <c:v>Kf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here'!$M$9:$M$100</c:f>
              <c:numCache>
                <c:formatCode>General</c:formatCode>
                <c:ptCount val="92"/>
                <c:pt idx="1">
                  <c:v>1.0000535309361285</c:v>
                </c:pt>
                <c:pt idx="2">
                  <c:v>1.0001056235262797</c:v>
                </c:pt>
                <c:pt idx="3">
                  <c:v>1.0002082687250464</c:v>
                </c:pt>
                <c:pt idx="4">
                  <c:v>1.0004112062627526</c:v>
                </c:pt>
                <c:pt idx="5">
                  <c:v>1.0008164678701204</c:v>
                </c:pt>
                <c:pt idx="6">
                  <c:v>1.0016648317001851</c:v>
                </c:pt>
                <c:pt idx="7">
                  <c:v>1.0031104608304149</c:v>
                </c:pt>
                <c:pt idx="8">
                  <c:v>1.0058633799083634</c:v>
                </c:pt>
                <c:pt idx="9">
                  <c:v>1.0013826643624169</c:v>
                </c:pt>
                <c:pt idx="10">
                  <c:v>1.000476460778996</c:v>
                </c:pt>
                <c:pt idx="11">
                  <c:v>1.000847248546832</c:v>
                </c:pt>
                <c:pt idx="12">
                  <c:v>1.0003732580664584</c:v>
                </c:pt>
                <c:pt idx="13">
                  <c:v>1.0011758087996812</c:v>
                </c:pt>
                <c:pt idx="14">
                  <c:v>1.0031922194049352</c:v>
                </c:pt>
                <c:pt idx="15">
                  <c:v>1.0101662044702493</c:v>
                </c:pt>
                <c:pt idx="16">
                  <c:v>1.0202157315554765</c:v>
                </c:pt>
                <c:pt idx="17">
                  <c:v>1.0094868427128574</c:v>
                </c:pt>
                <c:pt idx="18">
                  <c:v>1.0246784044439599</c:v>
                </c:pt>
                <c:pt idx="19">
                  <c:v>1.0181946319204846</c:v>
                </c:pt>
                <c:pt idx="20">
                  <c:v>1.0108146837254923</c:v>
                </c:pt>
                <c:pt idx="21">
                  <c:v>1.0125114274078244</c:v>
                </c:pt>
                <c:pt idx="22">
                  <c:v>1</c:v>
                </c:pt>
                <c:pt idx="23">
                  <c:v>1.0084866727140986</c:v>
                </c:pt>
                <c:pt idx="24">
                  <c:v>1.0236171339209765</c:v>
                </c:pt>
                <c:pt idx="25">
                  <c:v>1.0204359491673547</c:v>
                </c:pt>
                <c:pt idx="26">
                  <c:v>1.0245271308834467</c:v>
                </c:pt>
                <c:pt idx="27">
                  <c:v>1.0911138710817541</c:v>
                </c:pt>
                <c:pt idx="28">
                  <c:v>1.7521442658168496</c:v>
                </c:pt>
                <c:pt idx="29">
                  <c:v>1.43723609322933</c:v>
                </c:pt>
                <c:pt idx="30">
                  <c:v>1.2170752987377449</c:v>
                </c:pt>
                <c:pt idx="31">
                  <c:v>1.1285178851618742</c:v>
                </c:pt>
                <c:pt idx="32">
                  <c:v>1.2933352910858507</c:v>
                </c:pt>
                <c:pt idx="33">
                  <c:v>2.2315135550404408</c:v>
                </c:pt>
                <c:pt idx="34">
                  <c:v>-0.15703990784132277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'Enter your data here'!$O$8</c:f>
              <c:strCache>
                <c:ptCount val="1"/>
                <c:pt idx="0">
                  <c:v>Wave Height</c:v>
                </c:pt>
              </c:strCache>
            </c:strRef>
          </c:tx>
          <c:spPr>
            <a:ln w="12700">
              <a:solidFill>
                <a:srgbClr val="1FB714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rgbClr val="1FB71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here'!$O$9:$O$100</c:f>
              <c:numCache>
                <c:formatCode>General</c:formatCode>
                <c:ptCount val="92"/>
                <c:pt idx="0">
                  <c:v>1</c:v>
                </c:pt>
                <c:pt idx="1">
                  <c:v>1.0218751452861348</c:v>
                </c:pt>
                <c:pt idx="2">
                  <c:v>1.0464172217246479</c:v>
                </c:pt>
                <c:pt idx="3">
                  <c:v>1.0743071231750925</c:v>
                </c:pt>
                <c:pt idx="4">
                  <c:v>1.1065281945639831</c:v>
                </c:pt>
                <c:pt idx="5">
                  <c:v>1.0527</c:v>
                </c:pt>
                <c:pt idx="6">
                  <c:v>0.90420000000000011</c:v>
                </c:pt>
                <c:pt idx="7">
                  <c:v>0.80520000000000003</c:v>
                </c:pt>
                <c:pt idx="8">
                  <c:v>0.78539999999999999</c:v>
                </c:pt>
                <c:pt idx="9">
                  <c:v>0.92399999999999993</c:v>
                </c:pt>
                <c:pt idx="10">
                  <c:v>1.11675773313251</c:v>
                </c:pt>
                <c:pt idx="11">
                  <c:v>1.1073741797118273</c:v>
                </c:pt>
                <c:pt idx="12">
                  <c:v>1.1305465713982992</c:v>
                </c:pt>
                <c:pt idx="13">
                  <c:v>1.0045199999999999</c:v>
                </c:pt>
                <c:pt idx="14">
                  <c:v>0.78539999999999999</c:v>
                </c:pt>
                <c:pt idx="15">
                  <c:v>0.58740000000000003</c:v>
                </c:pt>
                <c:pt idx="16">
                  <c:v>0.44880000000000003</c:v>
                </c:pt>
                <c:pt idx="17">
                  <c:v>0.42900000000000005</c:v>
                </c:pt>
                <c:pt idx="18">
                  <c:v>0.37619999999999998</c:v>
                </c:pt>
                <c:pt idx="19">
                  <c:v>0.36300000000000004</c:v>
                </c:pt>
                <c:pt idx="20">
                  <c:v>0.38940000000000002</c:v>
                </c:pt>
                <c:pt idx="21">
                  <c:v>0.43230000000000002</c:v>
                </c:pt>
                <c:pt idx="22">
                  <c:v>0.42240000000000005</c:v>
                </c:pt>
                <c:pt idx="23">
                  <c:v>0.48113999999999979</c:v>
                </c:pt>
                <c:pt idx="24">
                  <c:v>0.46133999999999992</c:v>
                </c:pt>
                <c:pt idx="25">
                  <c:v>0.41514000000000001</c:v>
                </c:pt>
                <c:pt idx="26">
                  <c:v>0.32273999999999992</c:v>
                </c:pt>
                <c:pt idx="27">
                  <c:v>0.23694000000000001</c:v>
                </c:pt>
                <c:pt idx="28">
                  <c:v>0.15113999999999977</c:v>
                </c:pt>
                <c:pt idx="29">
                  <c:v>0.16433999999999979</c:v>
                </c:pt>
                <c:pt idx="30">
                  <c:v>0.20393999999999982</c:v>
                </c:pt>
                <c:pt idx="31">
                  <c:v>0.25014000000000003</c:v>
                </c:pt>
                <c:pt idx="32">
                  <c:v>0.25014000000000003</c:v>
                </c:pt>
                <c:pt idx="33">
                  <c:v>0.21053999999999998</c:v>
                </c:pt>
                <c:pt idx="34">
                  <c:v>-4.0735003905415175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'Enter your data here'!$T$8</c:f>
              <c:strCache>
                <c:ptCount val="1"/>
                <c:pt idx="0">
                  <c:v>Hs h-1</c:v>
                </c:pt>
              </c:strCache>
            </c:strRef>
          </c:tx>
          <c:spPr>
            <a:ln w="12700">
              <a:solidFill>
                <a:srgbClr val="4600A5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4600A5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here'!$T$9:$T$100</c:f>
              <c:numCache>
                <c:formatCode>General</c:formatCode>
                <c:ptCount val="92"/>
                <c:pt idx="0">
                  <c:v>0.36764705882352938</c:v>
                </c:pt>
                <c:pt idx="1">
                  <c:v>0.40956919650746881</c:v>
                </c:pt>
                <c:pt idx="2">
                  <c:v>0.46097674965843521</c:v>
                </c:pt>
                <c:pt idx="3">
                  <c:v>0.52533355656483738</c:v>
                </c:pt>
                <c:pt idx="4">
                  <c:v>0.607982524485705</c:v>
                </c:pt>
                <c:pt idx="5">
                  <c:v>0.66</c:v>
                </c:pt>
                <c:pt idx="6">
                  <c:v>0.66</c:v>
                </c:pt>
                <c:pt idx="7">
                  <c:v>0.66</c:v>
                </c:pt>
                <c:pt idx="8">
                  <c:v>0.66</c:v>
                </c:pt>
                <c:pt idx="9">
                  <c:v>0.66</c:v>
                </c:pt>
                <c:pt idx="10">
                  <c:v>0.6036528287202757</c:v>
                </c:pt>
                <c:pt idx="11">
                  <c:v>0.57675738526657672</c:v>
                </c:pt>
                <c:pt idx="12">
                  <c:v>0.63872687649621418</c:v>
                </c:pt>
                <c:pt idx="13">
                  <c:v>0.66</c:v>
                </c:pt>
                <c:pt idx="14">
                  <c:v>0.66</c:v>
                </c:pt>
                <c:pt idx="15">
                  <c:v>0.66</c:v>
                </c:pt>
                <c:pt idx="16">
                  <c:v>0.66</c:v>
                </c:pt>
                <c:pt idx="17">
                  <c:v>0.66</c:v>
                </c:pt>
                <c:pt idx="18">
                  <c:v>0.66</c:v>
                </c:pt>
                <c:pt idx="19">
                  <c:v>0.66</c:v>
                </c:pt>
                <c:pt idx="20">
                  <c:v>0.66</c:v>
                </c:pt>
                <c:pt idx="21">
                  <c:v>0.66</c:v>
                </c:pt>
                <c:pt idx="22">
                  <c:v>0.66</c:v>
                </c:pt>
                <c:pt idx="23">
                  <c:v>0.66</c:v>
                </c:pt>
                <c:pt idx="24">
                  <c:v>0.66</c:v>
                </c:pt>
                <c:pt idx="25">
                  <c:v>0.66</c:v>
                </c:pt>
                <c:pt idx="26">
                  <c:v>0.66</c:v>
                </c:pt>
                <c:pt idx="27">
                  <c:v>0.66</c:v>
                </c:pt>
                <c:pt idx="28">
                  <c:v>0.66</c:v>
                </c:pt>
                <c:pt idx="29">
                  <c:v>0.66</c:v>
                </c:pt>
                <c:pt idx="30">
                  <c:v>0.66</c:v>
                </c:pt>
                <c:pt idx="31">
                  <c:v>0.66</c:v>
                </c:pt>
                <c:pt idx="32">
                  <c:v>0.66</c:v>
                </c:pt>
                <c:pt idx="33">
                  <c:v>0.66</c:v>
                </c:pt>
                <c:pt idx="34">
                  <c:v>-21.552912119267283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axId val="65981440"/>
        <c:axId val="65987328"/>
      </c:scatterChart>
      <c:valAx>
        <c:axId val="65960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800" b="1" i="0" baseline="0"/>
                  <a:t>Cross-shore Distance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614873140857394"/>
              <c:y val="0.9396411232909611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79520"/>
        <c:crossesAt val="-10"/>
        <c:crossBetween val="midCat"/>
      </c:valAx>
      <c:valAx>
        <c:axId val="65979520"/>
        <c:scaling>
          <c:orientation val="minMax"/>
          <c:max val="3"/>
          <c:min val="-3"/>
        </c:scaling>
        <c:axPos val="l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Elevation (m)</a:t>
                </a:r>
              </a:p>
            </c:rich>
          </c:tx>
          <c:layout>
            <c:manualLayout>
              <c:xMode val="edge"/>
              <c:yMode val="edge"/>
              <c:x val="1.3318518518518519E-2"/>
              <c:y val="0.34529634776045148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60576"/>
        <c:crossesAt val="-30"/>
        <c:crossBetween val="midCat"/>
        <c:majorUnit val="1"/>
      </c:valAx>
      <c:valAx>
        <c:axId val="65981440"/>
        <c:scaling>
          <c:orientation val="minMax"/>
        </c:scaling>
        <c:delete val="1"/>
        <c:axPos val="b"/>
        <c:numFmt formatCode="General" sourceLinked="1"/>
        <c:tickLblPos val="none"/>
        <c:crossAx val="65987328"/>
        <c:crosses val="autoZero"/>
        <c:crossBetween val="midCat"/>
      </c:valAx>
      <c:valAx>
        <c:axId val="65987328"/>
        <c:scaling>
          <c:orientation val="minMax"/>
          <c:max val="10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Ks, Kf, Hs (m), Hs/h</a:t>
                </a:r>
              </a:p>
            </c:rich>
          </c:tx>
          <c:layout>
            <c:manualLayout>
              <c:xMode val="edge"/>
              <c:yMode val="edge"/>
              <c:x val="0.9579059784193642"/>
              <c:y val="0.322555709948021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crossAx val="6598144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264150943396224"/>
          <c:y val="7.9934747145187598E-2"/>
          <c:w val="0.28745837957824638"/>
          <c:h val="0.23491027732463296"/>
        </c:manualLayout>
      </c:layout>
      <c:spPr>
        <a:noFill/>
        <a:ln w="25400">
          <a:noFill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91" workbookViewId="0"/>
  </sheetViews>
  <pageMargins left="0.75" right="0.75" top="1" bottom="1" header="0.5" footer="0.5"/>
  <headerFooter alignWithMargins="0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</xdr:colOff>
      <xdr:row>0</xdr:row>
      <xdr:rowOff>9525</xdr:rowOff>
    </xdr:from>
    <xdr:to>
      <xdr:col>6</xdr:col>
      <xdr:colOff>622211</xdr:colOff>
      <xdr:row>6</xdr:row>
      <xdr:rowOff>85725</xdr:rowOff>
    </xdr:to>
    <xdr:sp macro="" textlink="">
      <xdr:nvSpPr>
        <xdr:cNvPr id="1034" name="Text Box 10"/>
        <xdr:cNvSpPr txBox="1">
          <a:spLocks noChangeArrowheads="1"/>
        </xdr:cNvSpPr>
      </xdr:nvSpPr>
      <xdr:spPr bwMode="auto">
        <a:xfrm>
          <a:off x="28575" y="9525"/>
          <a:ext cx="4810125" cy="1038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Enter your calculated offshore wave height and period in column E.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DO NOT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 make any changes to the areas in </a:t>
          </a:r>
          <a:r>
            <a:rPr lang="en-US" sz="1000" b="1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rPr>
            <a:t>grey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.  The graph required for the assignment is already created for you.  You can annotate each graph by hand or using the drawing and text box tools in Excel.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Make sure you save this excel file to your desktop before using otherwise it won't work or will not properly save.</a:t>
          </a:r>
        </a:p>
      </xdr:txBody>
    </xdr:sp>
    <xdr:clientData/>
  </xdr:twoCellAnchor>
  <xdr:twoCellAnchor>
    <xdr:from>
      <xdr:col>3</xdr:col>
      <xdr:colOff>9525</xdr:colOff>
      <xdr:row>11</xdr:row>
      <xdr:rowOff>57150</xdr:rowOff>
    </xdr:from>
    <xdr:to>
      <xdr:col>3</xdr:col>
      <xdr:colOff>946129</xdr:colOff>
      <xdr:row>12</xdr:row>
      <xdr:rowOff>66675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1838325" y="1828800"/>
          <a:ext cx="942975" cy="180975"/>
        </a:xfrm>
        <a:prstGeom prst="rect">
          <a:avLst/>
        </a:prstGeom>
        <a:solidFill>
          <a:srgbClr val="FFFF00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Offshore first</a:t>
          </a:r>
        </a:p>
      </xdr:txBody>
    </xdr:sp>
    <xdr:clientData/>
  </xdr:twoCellAnchor>
  <xdr:twoCellAnchor>
    <xdr:from>
      <xdr:col>2</xdr:col>
      <xdr:colOff>9525</xdr:colOff>
      <xdr:row>8</xdr:row>
      <xdr:rowOff>95250</xdr:rowOff>
    </xdr:from>
    <xdr:to>
      <xdr:col>3</xdr:col>
      <xdr:colOff>0</xdr:colOff>
      <xdr:row>11</xdr:row>
      <xdr:rowOff>133350</xdr:rowOff>
    </xdr:to>
    <xdr:sp macro="" textlink="">
      <xdr:nvSpPr>
        <xdr:cNvPr id="1079" name="Line 12"/>
        <xdr:cNvSpPr>
          <a:spLocks noChangeShapeType="1"/>
        </xdr:cNvSpPr>
      </xdr:nvSpPr>
      <xdr:spPr bwMode="auto">
        <a:xfrm flipH="1" flipV="1">
          <a:off x="1228725" y="1390650"/>
          <a:ext cx="600075" cy="5238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-31401" y="22713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0.1149</cdr:x>
      <cdr:y>0.45396</cdr:y>
    </cdr:from>
    <cdr:to>
      <cdr:x>0.91305</cdr:x>
      <cdr:y>0.45423</cdr:y>
    </cdr:to>
    <cdr:sp macro="" textlink="">
      <cdr:nvSpPr>
        <cdr:cNvPr id="6" name="Straight Connector 5"/>
        <cdr:cNvSpPr/>
      </cdr:nvSpPr>
      <cdr:spPr bwMode="auto">
        <a:xfrm xmlns:a="http://schemas.openxmlformats.org/drawingml/2006/main">
          <a:off x="983901" y="2627225"/>
          <a:ext cx="6845440" cy="158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0.6335</cdr:x>
      <cdr:y>0.62814</cdr:y>
    </cdr:from>
    <cdr:to>
      <cdr:x>0.72106</cdr:x>
      <cdr:y>0.68217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432390" y="3652994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sz="1100"/>
            <a:t>Bar 1</a:t>
          </a:r>
        </a:p>
      </cdr:txBody>
    </cdr:sp>
  </cdr:relSizeAnchor>
  <cdr:relSizeAnchor xmlns:cdr="http://schemas.openxmlformats.org/drawingml/2006/chartDrawing">
    <cdr:from>
      <cdr:x>0.40639</cdr:x>
      <cdr:y>0.54259</cdr:y>
    </cdr:from>
    <cdr:to>
      <cdr:x>0.49396</cdr:x>
      <cdr:y>0.59612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3485522" y="3150577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 2</a:t>
          </a:r>
        </a:p>
      </cdr:txBody>
    </cdr:sp>
  </cdr:relSizeAnchor>
  <cdr:relSizeAnchor xmlns:cdr="http://schemas.openxmlformats.org/drawingml/2006/chartDrawing">
    <cdr:from>
      <cdr:x>0.33418</cdr:x>
      <cdr:y>0.45396</cdr:y>
    </cdr:from>
    <cdr:to>
      <cdr:x>0.42275</cdr:x>
      <cdr:y>0.50699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867967" y="2627225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Bar3</a:t>
          </a:r>
        </a:p>
      </cdr:txBody>
    </cdr:sp>
  </cdr:relSizeAnchor>
  <cdr:relSizeAnchor xmlns:cdr="http://schemas.openxmlformats.org/drawingml/2006/chartDrawing">
    <cdr:from>
      <cdr:x>0.4037</cdr:x>
      <cdr:y>0.38901</cdr:y>
    </cdr:from>
    <cdr:to>
      <cdr:x>0.51835</cdr:x>
      <cdr:y>0.43562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3464588" y="2271346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shoaling</a:t>
          </a:r>
        </a:p>
      </cdr:txBody>
    </cdr:sp>
  </cdr:relSizeAnchor>
  <cdr:relSizeAnchor xmlns:cdr="http://schemas.openxmlformats.org/drawingml/2006/chartDrawing">
    <cdr:from>
      <cdr:x>0.39882</cdr:x>
      <cdr:y>0.4141</cdr:y>
    </cdr:from>
    <cdr:to>
      <cdr:x>0.4037</cdr:x>
      <cdr:y>0.72961</cdr:y>
    </cdr:to>
    <cdr:sp macro="" textlink="">
      <cdr:nvSpPr>
        <cdr:cNvPr id="16" name="Straight Connector 15"/>
        <cdr:cNvSpPr/>
      </cdr:nvSpPr>
      <cdr:spPr bwMode="auto">
        <a:xfrm xmlns:a="http://schemas.openxmlformats.org/drawingml/2006/main" flipH="1">
          <a:off x="3422719" y="2417884"/>
          <a:ext cx="41868" cy="184219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0.40492</cdr:x>
      <cdr:y>0.43382</cdr:y>
    </cdr:from>
    <cdr:to>
      <cdr:x>0.42688</cdr:x>
      <cdr:y>0.72423</cdr:y>
    </cdr:to>
    <cdr:sp macro="" textlink="">
      <cdr:nvSpPr>
        <cdr:cNvPr id="18" name="Straight Connector 17"/>
        <cdr:cNvSpPr/>
      </cdr:nvSpPr>
      <cdr:spPr bwMode="auto">
        <a:xfrm xmlns:a="http://schemas.openxmlformats.org/drawingml/2006/main">
          <a:off x="3475054" y="2533022"/>
          <a:ext cx="188407" cy="1695659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0.46103</cdr:x>
      <cdr:y>0.43382</cdr:y>
    </cdr:from>
    <cdr:to>
      <cdr:x>0.58909</cdr:x>
      <cdr:y>0.76726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>
          <a:off x="3956537" y="2533022"/>
          <a:ext cx="1099039" cy="194686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0.45981</cdr:x>
      <cdr:y>0.43024</cdr:y>
    </cdr:from>
    <cdr:to>
      <cdr:x>0.65983</cdr:x>
      <cdr:y>0.75471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>
          <a:off x="3946071" y="2512088"/>
          <a:ext cx="1716594" cy="189453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0.59519</cdr:x>
      <cdr:y>0.35853</cdr:y>
    </cdr:from>
    <cdr:to>
      <cdr:x>0.70983</cdr:x>
      <cdr:y>0.40514</cdr:y>
    </cdr:to>
    <cdr:sp macro="" textlink="">
      <cdr:nvSpPr>
        <cdr:cNvPr id="23" name="TextBox 1"/>
        <cdr:cNvSpPr txBox="1"/>
      </cdr:nvSpPr>
      <cdr:spPr>
        <a:xfrm xmlns:a="http://schemas.openxmlformats.org/drawingml/2006/main">
          <a:off x="5107912" y="2093407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Deshoaling</a:t>
          </a:r>
        </a:p>
      </cdr:txBody>
    </cdr:sp>
  </cdr:relSizeAnchor>
  <cdr:relSizeAnchor xmlns:cdr="http://schemas.openxmlformats.org/drawingml/2006/chartDrawing">
    <cdr:from>
      <cdr:x>0.43175</cdr:x>
      <cdr:y>0.40514</cdr:y>
    </cdr:from>
    <cdr:to>
      <cdr:x>0.59519</cdr:x>
      <cdr:y>0.72961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flipH="1">
          <a:off x="3705330" y="2365550"/>
          <a:ext cx="1402582" cy="1894532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0.53908</cdr:x>
      <cdr:y>0.40514</cdr:y>
    </cdr:from>
    <cdr:to>
      <cdr:x>0.59641</cdr:x>
      <cdr:y>0.76367</cdr:y>
    </cdr:to>
    <cdr:sp macro="" textlink="">
      <cdr:nvSpPr>
        <cdr:cNvPr id="25" name="Straight Connector 24"/>
        <cdr:cNvSpPr/>
      </cdr:nvSpPr>
      <cdr:spPr bwMode="auto">
        <a:xfrm xmlns:a="http://schemas.openxmlformats.org/drawingml/2006/main" flipH="1">
          <a:off x="4626429" y="2365550"/>
          <a:ext cx="491949" cy="2093406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0.40156</cdr:y>
    </cdr:from>
    <cdr:to>
      <cdr:x>0.67934</cdr:x>
      <cdr:y>0.76009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>
          <a:off x="5599863" y="2344615"/>
          <a:ext cx="230273" cy="209340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0.40335</cdr:y>
    </cdr:from>
    <cdr:to>
      <cdr:x>0.77448</cdr:x>
      <cdr:y>0.76905</cdr:y>
    </cdr:to>
    <cdr:sp macro="" textlink="">
      <cdr:nvSpPr>
        <cdr:cNvPr id="27" name="Straight Connector 26"/>
        <cdr:cNvSpPr/>
      </cdr:nvSpPr>
      <cdr:spPr bwMode="auto">
        <a:xfrm xmlns:a="http://schemas.openxmlformats.org/drawingml/2006/main">
          <a:off x="5599863" y="2355082"/>
          <a:ext cx="1046703" cy="2135275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0.27442</cdr:x>
      <cdr:y>0.8551</cdr:y>
    </cdr:from>
    <cdr:to>
      <cdr:x>0.31955</cdr:x>
      <cdr:y>0.92681</cdr:y>
    </cdr:to>
    <cdr:sp macro="" textlink="">
      <cdr:nvSpPr>
        <cdr:cNvPr id="29" name="Straight Connector 28"/>
        <cdr:cNvSpPr/>
      </cdr:nvSpPr>
      <cdr:spPr bwMode="auto">
        <a:xfrm xmlns:a="http://schemas.openxmlformats.org/drawingml/2006/main">
          <a:off x="2355082" y="4992775"/>
          <a:ext cx="387281" cy="418681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0.31955</cdr:x>
      <cdr:y>0.9286</cdr:y>
    </cdr:from>
    <cdr:to>
      <cdr:x>0.45005</cdr:x>
      <cdr:y>0.97521</cdr:y>
    </cdr:to>
    <cdr:sp macro="" textlink="">
      <cdr:nvSpPr>
        <cdr:cNvPr id="30" name="TextBox 29"/>
        <cdr:cNvSpPr txBox="1"/>
      </cdr:nvSpPr>
      <cdr:spPr>
        <a:xfrm xmlns:a="http://schemas.openxmlformats.org/drawingml/2006/main">
          <a:off x="2742362" y="5421923"/>
          <a:ext cx="1119973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Breakpoint</a:t>
          </a:r>
        </a:p>
      </cdr:txBody>
    </cdr:sp>
  </cdr:relSizeAnchor>
  <cdr:relSizeAnchor xmlns:cdr="http://schemas.openxmlformats.org/drawingml/2006/chartDrawing">
    <cdr:from>
      <cdr:x>0.38175</cdr:x>
      <cdr:y>0.11114</cdr:y>
    </cdr:from>
    <cdr:to>
      <cdr:x>0.52079</cdr:x>
      <cdr:y>0.19719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3276181" y="648956"/>
          <a:ext cx="1193242" cy="5024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Offshore</a:t>
          </a:r>
          <a:r>
            <a:rPr lang="en-US" sz="1100" baseline="0"/>
            <a:t> Height: 1</a:t>
          </a:r>
        </a:p>
        <a:p xmlns:a="http://schemas.openxmlformats.org/drawingml/2006/main">
          <a:r>
            <a:rPr lang="en-US" sz="1100" baseline="0"/>
            <a:t>Wave Period: 2s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0.10733</cdr:x>
      <cdr:y>0.57007</cdr:y>
    </cdr:from>
    <cdr:to>
      <cdr:x>0.26466</cdr:x>
      <cdr:y>0.61668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921099" y="3328516"/>
          <a:ext cx="1350247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Saturated</a:t>
          </a:r>
          <a:r>
            <a:rPr lang="en-US" sz="1100" baseline="0"/>
            <a:t> Surf Zone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0.24393</cdr:x>
      <cdr:y>0.45534</cdr:y>
    </cdr:from>
    <cdr:to>
      <cdr:x>0.26466</cdr:x>
      <cdr:y>0.56797</cdr:y>
    </cdr:to>
    <cdr:sp macro="" textlink="">
      <cdr:nvSpPr>
        <cdr:cNvPr id="33" name="Straight Connector 32"/>
        <cdr:cNvSpPr/>
      </cdr:nvSpPr>
      <cdr:spPr bwMode="auto">
        <a:xfrm xmlns:a="http://schemas.openxmlformats.org/drawingml/2006/main" flipH="1" flipV="1">
          <a:off x="2093406" y="2658625"/>
          <a:ext cx="177940" cy="657645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0.26344</cdr:x>
      <cdr:y>0.46609</cdr:y>
    </cdr:from>
    <cdr:to>
      <cdr:x>0.27564</cdr:x>
      <cdr:y>0.56976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flipV="1">
          <a:off x="2260878" y="2721428"/>
          <a:ext cx="104669" cy="60531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=@if(B27%3e=0,%22%20%22,L27/L$9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B640"/>
  <sheetViews>
    <sheetView workbookViewId="0">
      <selection activeCell="E8" sqref="E8"/>
    </sheetView>
  </sheetViews>
  <sheetFormatPr defaultColWidth="9.140625" defaultRowHeight="12.75"/>
  <cols>
    <col min="1" max="3" width="9.140625" style="9"/>
    <col min="4" max="4" width="17.42578125" style="9" bestFit="1" customWidth="1"/>
    <col min="5" max="6" width="9.140625" style="9"/>
    <col min="7" max="7" width="9.42578125" style="9" bestFit="1" customWidth="1"/>
    <col min="8" max="8" width="15.42578125" style="16" bestFit="1" customWidth="1"/>
    <col min="9" max="11" width="12" style="16" bestFit="1" customWidth="1"/>
    <col min="12" max="12" width="15.140625" style="16" bestFit="1" customWidth="1"/>
    <col min="13" max="13" width="12" style="16" bestFit="1" customWidth="1"/>
    <col min="14" max="14" width="14.42578125" style="16" bestFit="1" customWidth="1"/>
    <col min="15" max="15" width="13.7109375" style="16" bestFit="1" customWidth="1"/>
    <col min="16" max="17" width="12" style="16" bestFit="1" customWidth="1"/>
    <col min="18" max="18" width="15.140625" style="16" bestFit="1" customWidth="1"/>
    <col min="19" max="19" width="12" style="16" bestFit="1" customWidth="1"/>
    <col min="20" max="21" width="9.140625" style="16"/>
    <col min="22" max="22" width="12.85546875" style="16" bestFit="1" customWidth="1"/>
    <col min="23" max="23" width="12" style="16" bestFit="1" customWidth="1"/>
    <col min="24" max="24" width="12.42578125" style="16" bestFit="1" customWidth="1"/>
    <col min="25" max="25" width="12" style="16" bestFit="1" customWidth="1"/>
    <col min="26" max="26" width="12.42578125" style="16" bestFit="1" customWidth="1"/>
    <col min="27" max="27" width="12" style="16" bestFit="1" customWidth="1"/>
    <col min="28" max="28" width="12.42578125" style="16" bestFit="1" customWidth="1"/>
    <col min="29" max="29" width="12" style="16" bestFit="1" customWidth="1"/>
    <col min="30" max="30" width="12.42578125" style="16" bestFit="1" customWidth="1"/>
    <col min="31" max="31" width="12" style="16" bestFit="1" customWidth="1"/>
    <col min="32" max="32" width="12.42578125" style="16" bestFit="1" customWidth="1"/>
    <col min="33" max="33" width="12" style="16" bestFit="1" customWidth="1"/>
    <col min="34" max="34" width="12.42578125" style="16" bestFit="1" customWidth="1"/>
    <col min="35" max="35" width="12" style="16" bestFit="1" customWidth="1"/>
    <col min="36" max="36" width="12.42578125" style="16" bestFit="1" customWidth="1"/>
    <col min="37" max="37" width="12" style="16" bestFit="1" customWidth="1"/>
    <col min="38" max="38" width="12.42578125" style="16" bestFit="1" customWidth="1"/>
    <col min="39" max="39" width="12" style="16" bestFit="1" customWidth="1"/>
    <col min="40" max="40" width="12.42578125" style="16" bestFit="1" customWidth="1"/>
    <col min="41" max="41" width="12" style="16" bestFit="1" customWidth="1"/>
    <col min="42" max="42" width="12.42578125" style="16" bestFit="1" customWidth="1"/>
    <col min="43" max="43" width="12" style="16" bestFit="1" customWidth="1"/>
    <col min="44" max="54" width="9.140625" style="16"/>
    <col min="55" max="16384" width="9.140625" style="9"/>
  </cols>
  <sheetData>
    <row r="1" spans="1:54" customFormat="1"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2" spans="1:54" customFormat="1">
      <c r="H2" s="16"/>
      <c r="I2" s="16"/>
      <c r="J2" s="16"/>
      <c r="K2" s="16"/>
      <c r="L2" s="16"/>
      <c r="M2" s="16"/>
      <c r="N2" s="17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</row>
    <row r="3" spans="1:54" customFormat="1">
      <c r="H3" s="16"/>
      <c r="I3" s="16"/>
      <c r="J3" s="16"/>
      <c r="K3" s="16"/>
      <c r="L3" s="16"/>
      <c r="M3" s="16"/>
      <c r="N3" s="17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54" customFormat="1">
      <c r="H4" s="18" t="s">
        <v>3</v>
      </c>
      <c r="I4" s="17">
        <v>25</v>
      </c>
      <c r="J4" s="19" t="s">
        <v>18</v>
      </c>
      <c r="K4" s="17"/>
      <c r="L4" s="17"/>
      <c r="M4" s="17"/>
      <c r="N4" s="17"/>
      <c r="O4" s="17"/>
      <c r="P4" s="17"/>
      <c r="Q4" s="16"/>
      <c r="R4" s="16"/>
      <c r="S4" s="16"/>
      <c r="T4" s="16"/>
      <c r="U4" s="16"/>
      <c r="V4" s="16">
        <f>9.81/(2*PI())*$E$9^2*TANH(2*PI()*$H9/I$4)</f>
        <v>3.7088083630147755</v>
      </c>
      <c r="W4" s="16">
        <f t="shared" ref="W4:AQ4" si="0">9.81/(2*PI())*$E$9^2*TANH(2*PI()*$H9/V4)</f>
        <v>6.2439981418864345</v>
      </c>
      <c r="X4" s="16">
        <f t="shared" si="0"/>
        <v>6.1930758066314384</v>
      </c>
      <c r="Y4" s="16">
        <f t="shared" si="0"/>
        <v>6.1953625376900288</v>
      </c>
      <c r="Z4" s="16">
        <f t="shared" si="0"/>
        <v>6.1952612338322819</v>
      </c>
      <c r="AA4" s="16">
        <f t="shared" si="0"/>
        <v>6.1952657244177276</v>
      </c>
      <c r="AB4" s="16">
        <f t="shared" si="0"/>
        <v>6.1952655253649871</v>
      </c>
      <c r="AC4" s="16">
        <f t="shared" si="0"/>
        <v>6.1952655341883451</v>
      </c>
      <c r="AD4" s="16">
        <f t="shared" si="0"/>
        <v>6.195265533797234</v>
      </c>
      <c r="AE4" s="16">
        <f t="shared" si="0"/>
        <v>6.1952655338145703</v>
      </c>
      <c r="AF4" s="16">
        <f t="shared" si="0"/>
        <v>6.195265533813803</v>
      </c>
      <c r="AG4" s="16">
        <f t="shared" si="0"/>
        <v>6.1952655338138367</v>
      </c>
      <c r="AH4" s="16">
        <f t="shared" si="0"/>
        <v>6.195265533813834</v>
      </c>
      <c r="AI4" s="16">
        <f t="shared" si="0"/>
        <v>6.195265533813834</v>
      </c>
      <c r="AJ4" s="16">
        <f t="shared" si="0"/>
        <v>6.195265533813834</v>
      </c>
      <c r="AK4" s="16">
        <f t="shared" si="0"/>
        <v>6.195265533813834</v>
      </c>
      <c r="AL4" s="16">
        <f t="shared" si="0"/>
        <v>6.195265533813834</v>
      </c>
      <c r="AM4" s="16">
        <f t="shared" si="0"/>
        <v>6.195265533813834</v>
      </c>
      <c r="AN4" s="16">
        <f t="shared" si="0"/>
        <v>6.195265533813834</v>
      </c>
      <c r="AO4" s="16">
        <f t="shared" si="0"/>
        <v>6.195265533813834</v>
      </c>
      <c r="AP4" s="16">
        <f t="shared" si="0"/>
        <v>6.195265533813834</v>
      </c>
      <c r="AQ4" s="16">
        <f t="shared" si="0"/>
        <v>6.195265533813834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</row>
    <row r="5" spans="1:54" customFormat="1">
      <c r="H5" s="16" t="s">
        <v>10</v>
      </c>
      <c r="I5" s="16">
        <v>0.02</v>
      </c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</row>
    <row r="6" spans="1:54" customFormat="1">
      <c r="H6" s="16" t="s">
        <v>13</v>
      </c>
      <c r="I6" s="16">
        <v>1.0000000000000001E-5</v>
      </c>
      <c r="J6" s="16">
        <f>2^(-3)</f>
        <v>0.125</v>
      </c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</row>
    <row r="7" spans="1:54" customFormat="1"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customFormat="1">
      <c r="A8" s="4" t="s">
        <v>0</v>
      </c>
      <c r="B8" s="5" t="s">
        <v>1</v>
      </c>
      <c r="D8" s="1" t="s">
        <v>16</v>
      </c>
      <c r="E8" s="7">
        <v>1</v>
      </c>
      <c r="F8" s="6" t="s">
        <v>18</v>
      </c>
      <c r="H8" s="20" t="s">
        <v>2</v>
      </c>
      <c r="I8" s="20" t="s">
        <v>5</v>
      </c>
      <c r="J8" s="20" t="s">
        <v>6</v>
      </c>
      <c r="K8" s="20" t="s">
        <v>7</v>
      </c>
      <c r="L8" s="20" t="s">
        <v>8</v>
      </c>
      <c r="M8" s="20" t="s">
        <v>9</v>
      </c>
      <c r="N8" s="20" t="s">
        <v>11</v>
      </c>
      <c r="O8" s="20" t="s">
        <v>21</v>
      </c>
      <c r="P8" s="20" t="s">
        <v>12</v>
      </c>
      <c r="Q8" s="17" t="s">
        <v>14</v>
      </c>
      <c r="R8" s="17" t="s">
        <v>15</v>
      </c>
      <c r="S8" s="20" t="s">
        <v>10</v>
      </c>
      <c r="T8" s="20" t="s">
        <v>20</v>
      </c>
      <c r="U8" s="20"/>
      <c r="V8" s="17" t="s">
        <v>4</v>
      </c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customFormat="1">
      <c r="A9" s="23">
        <v>212.8</v>
      </c>
      <c r="B9" s="16">
        <v>-2.72</v>
      </c>
      <c r="D9" s="1" t="s">
        <v>17</v>
      </c>
      <c r="E9" s="8">
        <v>2</v>
      </c>
      <c r="F9" s="6" t="s">
        <v>19</v>
      </c>
      <c r="H9" s="21">
        <f>IF(B9&gt;=0,0,-B9)</f>
        <v>2.72</v>
      </c>
      <c r="I9" s="21">
        <f t="shared" ref="I9:I40" si="1">IF(B9&gt;=0,0,0.5*(1+(4*PI()*H9/AQ9)/(SINH(4*PI()*H9/AQ9))))</f>
        <v>0.52216336505091021</v>
      </c>
      <c r="J9" s="21">
        <f t="shared" ref="J9:J26" si="2">IF(B9&gt;=0,0,AQ9/$E$9)</f>
        <v>3.097632766906917</v>
      </c>
      <c r="K9" s="16"/>
      <c r="L9" s="19">
        <f>E8</f>
        <v>1</v>
      </c>
      <c r="M9" s="16"/>
      <c r="N9" s="16">
        <f>E8</f>
        <v>1</v>
      </c>
      <c r="O9" s="16">
        <f>E8</f>
        <v>1</v>
      </c>
      <c r="P9" s="16"/>
      <c r="Q9" s="16"/>
      <c r="R9" s="16"/>
      <c r="S9" s="16"/>
      <c r="T9" s="16">
        <f>O9/H9</f>
        <v>0.36764705882352938</v>
      </c>
      <c r="U9" s="16"/>
      <c r="V9" s="16">
        <f t="shared" ref="V9:V40" si="3">9.81/(2*PI())*$E$9^2*TANH(2*PI()*$H9/I$4)</f>
        <v>3.7088083630147755</v>
      </c>
      <c r="W9" s="16">
        <f t="shared" ref="W9:AQ9" si="4">9.81/(2*PI())*$E$9^2*TANH(2*PI()*$H9/V9)</f>
        <v>6.2439981418864345</v>
      </c>
      <c r="X9" s="16">
        <f t="shared" si="4"/>
        <v>6.1930758066314384</v>
      </c>
      <c r="Y9" s="16">
        <f t="shared" si="4"/>
        <v>6.1953625376900288</v>
      </c>
      <c r="Z9" s="16">
        <f t="shared" si="4"/>
        <v>6.1952612338322819</v>
      </c>
      <c r="AA9" s="16">
        <f t="shared" si="4"/>
        <v>6.1952657244177276</v>
      </c>
      <c r="AB9" s="16">
        <f t="shared" si="4"/>
        <v>6.1952655253649871</v>
      </c>
      <c r="AC9" s="16">
        <f t="shared" si="4"/>
        <v>6.1952655341883451</v>
      </c>
      <c r="AD9" s="16">
        <f t="shared" si="4"/>
        <v>6.195265533797234</v>
      </c>
      <c r="AE9" s="16">
        <f t="shared" si="4"/>
        <v>6.1952655338145703</v>
      </c>
      <c r="AF9" s="16">
        <f t="shared" si="4"/>
        <v>6.195265533813803</v>
      </c>
      <c r="AG9" s="16">
        <f t="shared" si="4"/>
        <v>6.1952655338138367</v>
      </c>
      <c r="AH9" s="16">
        <f t="shared" si="4"/>
        <v>6.195265533813834</v>
      </c>
      <c r="AI9" s="16">
        <f t="shared" si="4"/>
        <v>6.195265533813834</v>
      </c>
      <c r="AJ9" s="16">
        <f t="shared" si="4"/>
        <v>6.195265533813834</v>
      </c>
      <c r="AK9" s="16">
        <f t="shared" si="4"/>
        <v>6.195265533813834</v>
      </c>
      <c r="AL9" s="16">
        <f t="shared" si="4"/>
        <v>6.195265533813834</v>
      </c>
      <c r="AM9" s="16">
        <f t="shared" si="4"/>
        <v>6.195265533813834</v>
      </c>
      <c r="AN9" s="16">
        <f t="shared" si="4"/>
        <v>6.195265533813834</v>
      </c>
      <c r="AO9" s="16">
        <f t="shared" si="4"/>
        <v>6.195265533813834</v>
      </c>
      <c r="AP9" s="16">
        <f t="shared" si="4"/>
        <v>6.195265533813834</v>
      </c>
      <c r="AQ9" s="16">
        <f t="shared" si="4"/>
        <v>6.195265533813834</v>
      </c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customFormat="1">
      <c r="A10" s="23">
        <v>207.8</v>
      </c>
      <c r="B10" s="16">
        <v>-2.4950000000000001</v>
      </c>
      <c r="D10" s="9"/>
      <c r="E10" s="9"/>
      <c r="F10" s="9"/>
      <c r="H10" s="21">
        <f t="shared" ref="H10:H73" si="5">IF(B10&gt;=0,0,-B10)</f>
        <v>2.4950000000000001</v>
      </c>
      <c r="I10" s="21">
        <f t="shared" si="1"/>
        <v>0.53152297251811231</v>
      </c>
      <c r="J10" s="21">
        <f t="shared" si="2"/>
        <v>3.0841291955994858</v>
      </c>
      <c r="K10" s="16">
        <f t="shared" ref="K10:K26" si="6">L10/L$9</f>
        <v>1.02182044628109</v>
      </c>
      <c r="L10" s="16">
        <f t="shared" ref="L10:L73" si="7">N9*(H9/H10)^0.25</f>
        <v>1.02182044628109</v>
      </c>
      <c r="M10" s="16">
        <f t="shared" ref="M10:M41" si="8">1/(1+((64*PI()^3)/(3*9.81^2))*((S10*L9*(A10-A9))/(H10^2))*((H10^2)/($E$9^4))*(((L10/L9)^2)/(SINH(2*PI()*H10/AQ9))^3))</f>
        <v>1.0000535309361285</v>
      </c>
      <c r="N10" s="16">
        <f>M10*L10</f>
        <v>1.0218751452861348</v>
      </c>
      <c r="O10" s="16">
        <f>IF(N10/H10&gt;0.66,0.66*H10,N10)</f>
        <v>1.0218751452861348</v>
      </c>
      <c r="P10" s="16">
        <f t="shared" ref="P10:P73" si="9">K10/M10</f>
        <v>1.0217657502039776</v>
      </c>
      <c r="Q10" s="16">
        <f t="shared" ref="Q10:Q41" si="10">($E$9*R10)/(2*PI())</f>
        <v>0.31558718557084414</v>
      </c>
      <c r="R10" s="16">
        <f t="shared" ref="R10:R73" si="11">(O9/2)*SQRT(9.81/H10)</f>
        <v>0.99144638375644267</v>
      </c>
      <c r="S10" s="16">
        <f t="shared" ref="S10:S73" si="12">EXP((5.213*((2.5*$I$6)/Q10)^0.195)-5.977)</f>
        <v>5.797773474101358E-3</v>
      </c>
      <c r="T10" s="16">
        <f t="shared" ref="T10:T73" si="13">O10/H10</f>
        <v>0.40956919650746881</v>
      </c>
      <c r="U10" s="16"/>
      <c r="V10" s="16">
        <f t="shared" si="3"/>
        <v>3.4725144503705505</v>
      </c>
      <c r="W10" s="16">
        <f t="shared" ref="W10:AQ10" si="14">9.81/(2*PI())*$E$9^2*TANH(2*PI()*$H10/V10)</f>
        <v>6.2437426560256908</v>
      </c>
      <c r="X10" s="16">
        <f t="shared" si="14"/>
        <v>6.163411382494389</v>
      </c>
      <c r="Y10" s="16">
        <f t="shared" si="14"/>
        <v>6.1685636128365129</v>
      </c>
      <c r="Z10" s="16">
        <f t="shared" si="14"/>
        <v>6.1682391467744164</v>
      </c>
      <c r="AA10" s="16">
        <f t="shared" si="14"/>
        <v>6.1682596044761873</v>
      </c>
      <c r="AB10" s="16">
        <f t="shared" si="14"/>
        <v>6.1682583147067396</v>
      </c>
      <c r="AC10" s="16">
        <f t="shared" si="14"/>
        <v>6.1682583960214963</v>
      </c>
      <c r="AD10" s="16">
        <f t="shared" si="14"/>
        <v>6.1682583908949304</v>
      </c>
      <c r="AE10" s="16">
        <f t="shared" si="14"/>
        <v>6.1682583912181395</v>
      </c>
      <c r="AF10" s="16">
        <f t="shared" si="14"/>
        <v>6.1682583911977638</v>
      </c>
      <c r="AG10" s="16">
        <f t="shared" si="14"/>
        <v>6.1682583911990472</v>
      </c>
      <c r="AH10" s="16">
        <f t="shared" si="14"/>
        <v>6.1682583911989655</v>
      </c>
      <c r="AI10" s="16">
        <f t="shared" si="14"/>
        <v>6.1682583911989717</v>
      </c>
      <c r="AJ10" s="16">
        <f t="shared" si="14"/>
        <v>6.1682583911989717</v>
      </c>
      <c r="AK10" s="16">
        <f t="shared" si="14"/>
        <v>6.1682583911989717</v>
      </c>
      <c r="AL10" s="16">
        <f t="shared" si="14"/>
        <v>6.1682583911989717</v>
      </c>
      <c r="AM10" s="16">
        <f t="shared" si="14"/>
        <v>6.1682583911989717</v>
      </c>
      <c r="AN10" s="16">
        <f t="shared" si="14"/>
        <v>6.1682583911989717</v>
      </c>
      <c r="AO10" s="16">
        <f t="shared" si="14"/>
        <v>6.1682583911989717</v>
      </c>
      <c r="AP10" s="16">
        <f t="shared" si="14"/>
        <v>6.1682583911989717</v>
      </c>
      <c r="AQ10" s="16">
        <f t="shared" si="14"/>
        <v>6.1682583911989717</v>
      </c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customFormat="1">
      <c r="A11" s="23">
        <v>202.8</v>
      </c>
      <c r="B11" s="16">
        <v>-2.27</v>
      </c>
      <c r="H11" s="21">
        <f t="shared" si="5"/>
        <v>2.27</v>
      </c>
      <c r="I11" s="21">
        <f t="shared" si="1"/>
        <v>0.54428071491355445</v>
      </c>
      <c r="J11" s="21">
        <f t="shared" si="2"/>
        <v>3.063780969140657</v>
      </c>
      <c r="K11" s="16">
        <f t="shared" si="6"/>
        <v>1.0463067071206718</v>
      </c>
      <c r="L11" s="16">
        <f t="shared" si="7"/>
        <v>1.0463067071206718</v>
      </c>
      <c r="M11" s="16">
        <f t="shared" si="8"/>
        <v>1.0001056235262797</v>
      </c>
      <c r="N11" s="16">
        <f t="shared" ref="N11:N74" si="15">M11*L11</f>
        <v>1.0464172217246479</v>
      </c>
      <c r="O11" s="16">
        <f t="shared" ref="O11:O74" si="16">IF(N11/H11&gt;0.66,0.66*H11,N11)</f>
        <v>1.0464172217246479</v>
      </c>
      <c r="P11" s="16">
        <f t="shared" si="9"/>
        <v>1.046196204188405</v>
      </c>
      <c r="Q11" s="16">
        <f t="shared" si="10"/>
        <v>0.33809561865149418</v>
      </c>
      <c r="R11" s="16">
        <f t="shared" si="11"/>
        <v>1.0621587117664304</v>
      </c>
      <c r="S11" s="16">
        <f t="shared" si="12"/>
        <v>5.7341633574948155E-3</v>
      </c>
      <c r="T11" s="16">
        <f t="shared" si="13"/>
        <v>0.46097674965843521</v>
      </c>
      <c r="U11" s="16"/>
      <c r="V11" s="16">
        <f t="shared" si="3"/>
        <v>3.2208956658489289</v>
      </c>
      <c r="W11" s="16">
        <f t="shared" ref="W11:AQ11" si="17">9.81/(2*PI())*$E$9^2*TANH(2*PI()*$H11/V11)</f>
        <v>6.2434608056960839</v>
      </c>
      <c r="X11" s="16">
        <f t="shared" si="17"/>
        <v>6.117049161945225</v>
      </c>
      <c r="Y11" s="16">
        <f t="shared" si="17"/>
        <v>6.1284909137296006</v>
      </c>
      <c r="Z11" s="16">
        <f t="shared" si="17"/>
        <v>6.1274796508750997</v>
      </c>
      <c r="AA11" s="16">
        <f t="shared" si="17"/>
        <v>6.1275692256460266</v>
      </c>
      <c r="AB11" s="16">
        <f t="shared" si="17"/>
        <v>6.1275612929008894</v>
      </c>
      <c r="AC11" s="16">
        <f t="shared" si="17"/>
        <v>6.1275619954371194</v>
      </c>
      <c r="AD11" s="16">
        <f t="shared" si="17"/>
        <v>6.1275619332195141</v>
      </c>
      <c r="AE11" s="16">
        <f t="shared" si="17"/>
        <v>6.1275619387295919</v>
      </c>
      <c r="AF11" s="16">
        <f t="shared" si="17"/>
        <v>6.1275619382416133</v>
      </c>
      <c r="AG11" s="16">
        <f t="shared" si="17"/>
        <v>6.1275619382848294</v>
      </c>
      <c r="AH11" s="16">
        <f t="shared" si="17"/>
        <v>6.1275619382810005</v>
      </c>
      <c r="AI11" s="16">
        <f t="shared" si="17"/>
        <v>6.1275619382813407</v>
      </c>
      <c r="AJ11" s="16">
        <f t="shared" si="17"/>
        <v>6.1275619382813105</v>
      </c>
      <c r="AK11" s="16">
        <f t="shared" si="17"/>
        <v>6.127561938281314</v>
      </c>
      <c r="AL11" s="16">
        <f t="shared" si="17"/>
        <v>6.127561938281314</v>
      </c>
      <c r="AM11" s="16">
        <f t="shared" si="17"/>
        <v>6.127561938281314</v>
      </c>
      <c r="AN11" s="16">
        <f t="shared" si="17"/>
        <v>6.127561938281314</v>
      </c>
      <c r="AO11" s="16">
        <f t="shared" si="17"/>
        <v>6.127561938281314</v>
      </c>
      <c r="AP11" s="16">
        <f t="shared" si="17"/>
        <v>6.127561938281314</v>
      </c>
      <c r="AQ11" s="16">
        <f t="shared" si="17"/>
        <v>6.127561938281314</v>
      </c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customFormat="1">
      <c r="A12" s="23">
        <v>197.8</v>
      </c>
      <c r="B12" s="16">
        <v>-2.0449999999999999</v>
      </c>
      <c r="H12" s="21">
        <f t="shared" si="5"/>
        <v>2.0449999999999999</v>
      </c>
      <c r="I12" s="21">
        <f t="shared" si="1"/>
        <v>0.5613028909781228</v>
      </c>
      <c r="J12" s="21">
        <f t="shared" si="2"/>
        <v>3.0335407213211583</v>
      </c>
      <c r="K12" s="16">
        <f t="shared" si="6"/>
        <v>1.0740834251895348</v>
      </c>
      <c r="L12" s="16">
        <f t="shared" si="7"/>
        <v>1.0740834251895348</v>
      </c>
      <c r="M12" s="16">
        <f t="shared" si="8"/>
        <v>1.0002082687250464</v>
      </c>
      <c r="N12" s="16">
        <f t="shared" si="15"/>
        <v>1.0743071231750925</v>
      </c>
      <c r="O12" s="16">
        <f t="shared" si="16"/>
        <v>1.0743071231750925</v>
      </c>
      <c r="P12" s="16">
        <f t="shared" si="9"/>
        <v>1.0738597737835702</v>
      </c>
      <c r="Q12" s="16">
        <f t="shared" si="10"/>
        <v>0.36476474599769609</v>
      </c>
      <c r="R12" s="16">
        <f t="shared" si="11"/>
        <v>1.1459422463149089</v>
      </c>
      <c r="S12" s="16">
        <f t="shared" si="12"/>
        <v>5.6658359530957665E-3</v>
      </c>
      <c r="T12" s="16">
        <f t="shared" si="13"/>
        <v>0.52533355656483738</v>
      </c>
      <c r="U12" s="16"/>
      <c r="V12" s="16">
        <f t="shared" si="3"/>
        <v>2.9541760551915508</v>
      </c>
      <c r="W12" s="16">
        <f t="shared" ref="W12:AQ12" si="18">9.81/(2*PI())*$E$9^2*TANH(2*PI()*$H12/V12)</f>
        <v>6.2431573902361555</v>
      </c>
      <c r="X12" s="16">
        <f t="shared" si="18"/>
        <v>6.044838121450212</v>
      </c>
      <c r="Y12" s="16">
        <f t="shared" si="18"/>
        <v>6.0697980161215428</v>
      </c>
      <c r="Z12" s="16">
        <f t="shared" si="18"/>
        <v>6.0667482173547453</v>
      </c>
      <c r="AA12" s="16">
        <f t="shared" si="18"/>
        <v>6.0671222956164463</v>
      </c>
      <c r="AB12" s="16">
        <f t="shared" si="18"/>
        <v>6.0670764337958136</v>
      </c>
      <c r="AC12" s="16">
        <f t="shared" si="18"/>
        <v>6.0670820567553223</v>
      </c>
      <c r="AD12" s="16">
        <f t="shared" si="18"/>
        <v>6.0670813673485045</v>
      </c>
      <c r="AE12" s="16">
        <f t="shared" si="18"/>
        <v>6.067081451873773</v>
      </c>
      <c r="AF12" s="16">
        <f t="shared" si="18"/>
        <v>6.0670814415104868</v>
      </c>
      <c r="AG12" s="16">
        <f t="shared" si="18"/>
        <v>6.0670814427810864</v>
      </c>
      <c r="AH12" s="16">
        <f t="shared" si="18"/>
        <v>6.0670814426253035</v>
      </c>
      <c r="AI12" s="16">
        <f t="shared" si="18"/>
        <v>6.067081442644402</v>
      </c>
      <c r="AJ12" s="16">
        <f t="shared" si="18"/>
        <v>6.0670814426420616</v>
      </c>
      <c r="AK12" s="16">
        <f t="shared" si="18"/>
        <v>6.0670814426423476</v>
      </c>
      <c r="AL12" s="16">
        <f t="shared" si="18"/>
        <v>6.067081442642313</v>
      </c>
      <c r="AM12" s="16">
        <f t="shared" si="18"/>
        <v>6.0670814426423165</v>
      </c>
      <c r="AN12" s="16">
        <f t="shared" si="18"/>
        <v>6.0670814426423165</v>
      </c>
      <c r="AO12" s="16">
        <f t="shared" si="18"/>
        <v>6.0670814426423165</v>
      </c>
      <c r="AP12" s="16">
        <f t="shared" si="18"/>
        <v>6.0670814426423165</v>
      </c>
      <c r="AQ12" s="16">
        <f t="shared" si="18"/>
        <v>6.0670814426423165</v>
      </c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customFormat="1">
      <c r="A13" s="23">
        <v>192.8</v>
      </c>
      <c r="B13" s="16">
        <v>-1.82</v>
      </c>
      <c r="H13" s="21">
        <f t="shared" si="5"/>
        <v>1.82</v>
      </c>
      <c r="I13" s="21">
        <f t="shared" si="1"/>
        <v>0.58346966146139445</v>
      </c>
      <c r="J13" s="21">
        <f t="shared" si="2"/>
        <v>2.9893222542363134</v>
      </c>
      <c r="K13" s="16">
        <f t="shared" si="6"/>
        <v>1.1060733702670653</v>
      </c>
      <c r="L13" s="16">
        <f t="shared" si="7"/>
        <v>1.1060733702670653</v>
      </c>
      <c r="M13" s="16">
        <f t="shared" si="8"/>
        <v>1.0004112062627526</v>
      </c>
      <c r="N13" s="16">
        <f t="shared" si="15"/>
        <v>1.1065281945639831</v>
      </c>
      <c r="O13" s="16">
        <f t="shared" si="16"/>
        <v>1.1065281945639831</v>
      </c>
      <c r="P13" s="16">
        <f t="shared" si="9"/>
        <v>1.1056187329198721</v>
      </c>
      <c r="Q13" s="16">
        <f t="shared" si="10"/>
        <v>0.39696059387995603</v>
      </c>
      <c r="R13" s="16">
        <f t="shared" si="11"/>
        <v>1.2470884854979112</v>
      </c>
      <c r="S13" s="16">
        <f t="shared" si="12"/>
        <v>5.591832172288559E-3</v>
      </c>
      <c r="T13" s="16">
        <f t="shared" si="13"/>
        <v>0.607982524485705</v>
      </c>
      <c r="U13" s="16"/>
      <c r="V13" s="16">
        <f t="shared" si="3"/>
        <v>2.672811272418079</v>
      </c>
      <c r="W13" s="16">
        <f t="shared" ref="W13:AQ13" si="19">9.81/(2*PI())*$E$9^2*TANH(2*PI()*$H13/V13)</f>
        <v>6.2428394148152666</v>
      </c>
      <c r="X13" s="16">
        <f t="shared" si="19"/>
        <v>5.9329666284298472</v>
      </c>
      <c r="Y13" s="16">
        <f t="shared" si="19"/>
        <v>5.9862212911141501</v>
      </c>
      <c r="Z13" s="16">
        <f t="shared" si="19"/>
        <v>5.9773783144216424</v>
      </c>
      <c r="AA13" s="16">
        <f t="shared" si="19"/>
        <v>5.9788558488413264</v>
      </c>
      <c r="AB13" s="16">
        <f t="shared" si="19"/>
        <v>5.9786092264181336</v>
      </c>
      <c r="AC13" s="16">
        <f t="shared" si="19"/>
        <v>5.9786503984060291</v>
      </c>
      <c r="AD13" s="16">
        <f t="shared" si="19"/>
        <v>5.9786435252103267</v>
      </c>
      <c r="AE13" s="16">
        <f t="shared" si="19"/>
        <v>5.9786446726177473</v>
      </c>
      <c r="AF13" s="16">
        <f t="shared" si="19"/>
        <v>5.9786444810703516</v>
      </c>
      <c r="AG13" s="16">
        <f t="shared" si="19"/>
        <v>5.9786445130471444</v>
      </c>
      <c r="AH13" s="16">
        <f t="shared" si="19"/>
        <v>5.9786445077089603</v>
      </c>
      <c r="AI13" s="16">
        <f t="shared" si="19"/>
        <v>5.9786445086001123</v>
      </c>
      <c r="AJ13" s="16">
        <f t="shared" si="19"/>
        <v>5.9786445084513451</v>
      </c>
      <c r="AK13" s="16">
        <f t="shared" si="19"/>
        <v>5.9786445084761786</v>
      </c>
      <c r="AL13" s="16">
        <f t="shared" si="19"/>
        <v>5.9786445084720334</v>
      </c>
      <c r="AM13" s="16">
        <f t="shared" si="19"/>
        <v>5.9786445084727262</v>
      </c>
      <c r="AN13" s="16">
        <f t="shared" si="19"/>
        <v>5.9786445084726099</v>
      </c>
      <c r="AO13" s="16">
        <f t="shared" si="19"/>
        <v>5.9786445084726294</v>
      </c>
      <c r="AP13" s="16">
        <f t="shared" si="19"/>
        <v>5.9786445084726259</v>
      </c>
      <c r="AQ13" s="16">
        <f t="shared" si="19"/>
        <v>5.9786445084726267</v>
      </c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customFormat="1">
      <c r="A14" s="23">
        <v>187.8</v>
      </c>
      <c r="B14" s="16">
        <v>-1.595</v>
      </c>
      <c r="D14" s="14"/>
      <c r="E14" s="14"/>
      <c r="F14" s="14"/>
      <c r="H14" s="21">
        <f t="shared" si="5"/>
        <v>1.595</v>
      </c>
      <c r="I14" s="21">
        <f t="shared" si="1"/>
        <v>0.61157766246215173</v>
      </c>
      <c r="J14" s="21">
        <f t="shared" si="2"/>
        <v>2.9258024799773987</v>
      </c>
      <c r="K14" s="16">
        <f t="shared" si="6"/>
        <v>1.1436421662064034</v>
      </c>
      <c r="L14" s="16">
        <f t="shared" si="7"/>
        <v>1.1436421662064034</v>
      </c>
      <c r="M14" s="16">
        <f t="shared" si="8"/>
        <v>1.0008164678701204</v>
      </c>
      <c r="N14" s="16">
        <f t="shared" si="15"/>
        <v>1.1445759132900257</v>
      </c>
      <c r="O14" s="16">
        <f t="shared" si="16"/>
        <v>1.0527</v>
      </c>
      <c r="P14" s="16">
        <f t="shared" si="9"/>
        <v>1.1427091808753271</v>
      </c>
      <c r="Q14" s="16">
        <f t="shared" si="10"/>
        <v>0.43675388415133609</v>
      </c>
      <c r="R14" s="16">
        <f t="shared" si="11"/>
        <v>1.372102793876645</v>
      </c>
      <c r="S14" s="16">
        <f t="shared" si="12"/>
        <v>5.5108353054106121E-3</v>
      </c>
      <c r="T14" s="16">
        <f t="shared" si="13"/>
        <v>0.66</v>
      </c>
      <c r="U14" s="16"/>
      <c r="V14" s="16">
        <f t="shared" si="3"/>
        <v>2.3775050678412901</v>
      </c>
      <c r="W14" s="16">
        <f t="shared" ref="W14:AQ14" si="20">9.81/(2*PI())*$E$9^2*TANH(2*PI()*$H14/V14)</f>
        <v>6.2425160086119327</v>
      </c>
      <c r="X14" s="16">
        <f t="shared" si="20"/>
        <v>5.7610843765339865</v>
      </c>
      <c r="Y14" s="16">
        <f t="shared" si="20"/>
        <v>5.8716131948743042</v>
      </c>
      <c r="Z14" s="16">
        <f t="shared" si="20"/>
        <v>5.8471308160021689</v>
      </c>
      <c r="AA14" s="16">
        <f t="shared" si="20"/>
        <v>5.8526029270238533</v>
      </c>
      <c r="AB14" s="16">
        <f t="shared" si="20"/>
        <v>5.8513822353264784</v>
      </c>
      <c r="AC14" s="16">
        <f t="shared" si="20"/>
        <v>5.8516546609975695</v>
      </c>
      <c r="AD14" s="16">
        <f t="shared" si="20"/>
        <v>5.8515938688454403</v>
      </c>
      <c r="AE14" s="16">
        <f t="shared" si="20"/>
        <v>5.8516074349920268</v>
      </c>
      <c r="AF14" s="16">
        <f t="shared" si="20"/>
        <v>5.8516044076368736</v>
      </c>
      <c r="AG14" s="16">
        <f t="shared" si="20"/>
        <v>5.8516050832074296</v>
      </c>
      <c r="AH14" s="16">
        <f t="shared" si="20"/>
        <v>5.851604932450269</v>
      </c>
      <c r="AI14" s="16">
        <f t="shared" si="20"/>
        <v>5.851604966092534</v>
      </c>
      <c r="AJ14" s="16">
        <f t="shared" si="20"/>
        <v>5.8516049585850833</v>
      </c>
      <c r="AK14" s="16">
        <f t="shared" si="20"/>
        <v>5.851604960260409</v>
      </c>
      <c r="AL14" s="16">
        <f t="shared" si="20"/>
        <v>5.8516049598865525</v>
      </c>
      <c r="AM14" s="16">
        <f t="shared" si="20"/>
        <v>5.85160495996998</v>
      </c>
      <c r="AN14" s="16">
        <f t="shared" si="20"/>
        <v>5.8516049599513629</v>
      </c>
      <c r="AO14" s="16">
        <f t="shared" si="20"/>
        <v>5.851604959955516</v>
      </c>
      <c r="AP14" s="16">
        <f t="shared" si="20"/>
        <v>5.8516049599545914</v>
      </c>
      <c r="AQ14" s="16">
        <f t="shared" si="20"/>
        <v>5.8516049599547975</v>
      </c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customFormat="1">
      <c r="A15" s="23">
        <v>182.8</v>
      </c>
      <c r="B15" s="16">
        <v>-1.37</v>
      </c>
      <c r="D15" s="14"/>
      <c r="E15" s="15"/>
      <c r="F15" s="15"/>
      <c r="H15" s="21">
        <f t="shared" si="5"/>
        <v>1.37</v>
      </c>
      <c r="I15" s="21">
        <f t="shared" si="1"/>
        <v>0.64623822365528816</v>
      </c>
      <c r="J15" s="21">
        <f t="shared" si="2"/>
        <v>2.8361715828567511</v>
      </c>
      <c r="K15" s="16">
        <f t="shared" si="6"/>
        <v>1.1889254738925568</v>
      </c>
      <c r="L15" s="16">
        <f t="shared" si="7"/>
        <v>1.1889254738925568</v>
      </c>
      <c r="M15" s="16">
        <f t="shared" si="8"/>
        <v>1.0016648317001851</v>
      </c>
      <c r="N15" s="16">
        <f t="shared" si="15"/>
        <v>1.1909048347106506</v>
      </c>
      <c r="O15" s="16">
        <f t="shared" si="16"/>
        <v>0.90420000000000011</v>
      </c>
      <c r="P15" s="16">
        <f t="shared" si="9"/>
        <v>1.1869494029000929</v>
      </c>
      <c r="Q15" s="16">
        <f t="shared" si="10"/>
        <v>0.44833121198136289</v>
      </c>
      <c r="R15" s="16">
        <f t="shared" si="11"/>
        <v>1.4084740419356578</v>
      </c>
      <c r="S15" s="16">
        <f t="shared" si="12"/>
        <v>5.4891180231554301E-3</v>
      </c>
      <c r="T15" s="16">
        <f t="shared" si="13"/>
        <v>0.66</v>
      </c>
      <c r="U15" s="16"/>
      <c r="V15" s="16">
        <f t="shared" si="3"/>
        <v>2.069218826646821</v>
      </c>
      <c r="W15" s="16">
        <f t="shared" ref="W15:AQ15" si="21">9.81/(2*PI())*$E$9^2*TANH(2*PI()*$H15/V15)</f>
        <v>6.2421981184979565</v>
      </c>
      <c r="X15" s="16">
        <f t="shared" si="21"/>
        <v>5.5003462363221711</v>
      </c>
      <c r="Y15" s="16">
        <f t="shared" si="21"/>
        <v>5.7220419268634286</v>
      </c>
      <c r="Z15" s="16">
        <f t="shared" si="21"/>
        <v>5.6577599612378542</v>
      </c>
      <c r="AA15" s="16">
        <f t="shared" si="21"/>
        <v>5.6766042433420356</v>
      </c>
      <c r="AB15" s="16">
        <f t="shared" si="21"/>
        <v>5.6710965471044785</v>
      </c>
      <c r="AC15" s="16">
        <f t="shared" si="21"/>
        <v>5.6727077419534959</v>
      </c>
      <c r="AD15" s="16">
        <f t="shared" si="21"/>
        <v>5.6722365331417359</v>
      </c>
      <c r="AE15" s="16">
        <f t="shared" si="21"/>
        <v>5.6723743529916524</v>
      </c>
      <c r="AF15" s="16">
        <f t="shared" si="21"/>
        <v>5.672334044134419</v>
      </c>
      <c r="AG15" s="16">
        <f t="shared" si="21"/>
        <v>5.6723458335431287</v>
      </c>
      <c r="AH15" s="16">
        <f t="shared" si="21"/>
        <v>5.6723423854202375</v>
      </c>
      <c r="AI15" s="16">
        <f t="shared" si="21"/>
        <v>5.6723433939150976</v>
      </c>
      <c r="AJ15" s="16">
        <f t="shared" si="21"/>
        <v>5.6723430989541148</v>
      </c>
      <c r="AK15" s="16">
        <f t="shared" si="21"/>
        <v>5.6723431852232551</v>
      </c>
      <c r="AL15" s="16">
        <f t="shared" si="21"/>
        <v>5.6723431599915637</v>
      </c>
      <c r="AM15" s="16">
        <f t="shared" si="21"/>
        <v>5.6723431673712392</v>
      </c>
      <c r="AN15" s="16">
        <f t="shared" si="21"/>
        <v>5.6723431652128573</v>
      </c>
      <c r="AO15" s="16">
        <f t="shared" si="21"/>
        <v>5.6723431658441337</v>
      </c>
      <c r="AP15" s="16">
        <f t="shared" si="21"/>
        <v>5.6723431656594991</v>
      </c>
      <c r="AQ15" s="16">
        <f t="shared" si="21"/>
        <v>5.6723431657135022</v>
      </c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customFormat="1">
      <c r="A16" s="23">
        <v>176.8</v>
      </c>
      <c r="B16" s="16">
        <v>-1.22</v>
      </c>
      <c r="D16" s="14"/>
      <c r="E16" s="15"/>
      <c r="F16" s="15"/>
      <c r="H16" s="21">
        <f t="shared" si="5"/>
        <v>1.22</v>
      </c>
      <c r="I16" s="21">
        <f t="shared" si="1"/>
        <v>0.67317019786215226</v>
      </c>
      <c r="J16" s="21">
        <f t="shared" si="2"/>
        <v>2.7576944018135228</v>
      </c>
      <c r="K16" s="16">
        <f t="shared" si="6"/>
        <v>1.2259344306820417</v>
      </c>
      <c r="L16" s="16">
        <f t="shared" si="7"/>
        <v>1.2259344306820417</v>
      </c>
      <c r="M16" s="16">
        <f t="shared" si="8"/>
        <v>1.0031104608304149</v>
      </c>
      <c r="N16" s="16">
        <f t="shared" si="15"/>
        <v>1.2297476517093351</v>
      </c>
      <c r="O16" s="16">
        <f t="shared" si="16"/>
        <v>0.80520000000000003</v>
      </c>
      <c r="P16" s="16">
        <f t="shared" si="9"/>
        <v>1.222133033751003</v>
      </c>
      <c r="Q16" s="16">
        <f t="shared" si="10"/>
        <v>0.40807427967771026</v>
      </c>
      <c r="R16" s="16">
        <f t="shared" si="11"/>
        <v>1.2820031591544412</v>
      </c>
      <c r="S16" s="16">
        <f t="shared" si="12"/>
        <v>5.5681440929811529E-3</v>
      </c>
      <c r="T16" s="16">
        <f t="shared" si="13"/>
        <v>0.66</v>
      </c>
      <c r="U16" s="16"/>
      <c r="V16" s="16">
        <f t="shared" si="3"/>
        <v>1.8570755791806286</v>
      </c>
      <c r="W16" s="16">
        <f t="shared" ref="W16:AQ16" si="22">9.81/(2*PI())*$E$9^2*TANH(2*PI()*$H16/V16)</f>
        <v>6.241995262358194</v>
      </c>
      <c r="X16" s="16">
        <f t="shared" si="22"/>
        <v>5.2585729604591389</v>
      </c>
      <c r="Y16" s="16">
        <f t="shared" si="22"/>
        <v>5.6032752180684318</v>
      </c>
      <c r="Z16" s="16">
        <f t="shared" si="22"/>
        <v>5.4848444170583708</v>
      </c>
      <c r="AA16" s="16">
        <f t="shared" si="22"/>
        <v>5.5259540420993583</v>
      </c>
      <c r="AB16" s="16">
        <f t="shared" si="22"/>
        <v>5.5117280480427686</v>
      </c>
      <c r="AC16" s="16">
        <f t="shared" si="22"/>
        <v>5.5166564788498613</v>
      </c>
      <c r="AD16" s="16">
        <f t="shared" si="22"/>
        <v>5.514949732943986</v>
      </c>
      <c r="AE16" s="16">
        <f t="shared" si="22"/>
        <v>5.5155408681777018</v>
      </c>
      <c r="AF16" s="16">
        <f t="shared" si="22"/>
        <v>5.5153361365903573</v>
      </c>
      <c r="AG16" s="16">
        <f t="shared" si="22"/>
        <v>5.5154070436999074</v>
      </c>
      <c r="AH16" s="16">
        <f t="shared" si="22"/>
        <v>5.5153824857383897</v>
      </c>
      <c r="AI16" s="16">
        <f t="shared" si="22"/>
        <v>5.5153909911566803</v>
      </c>
      <c r="AJ16" s="16">
        <f t="shared" si="22"/>
        <v>5.5153880453872457</v>
      </c>
      <c r="AK16" s="16">
        <f t="shared" si="22"/>
        <v>5.5153890656262581</v>
      </c>
      <c r="AL16" s="16">
        <f t="shared" si="22"/>
        <v>5.5153887122762821</v>
      </c>
      <c r="AM16" s="16">
        <f t="shared" si="22"/>
        <v>5.5153888346556537</v>
      </c>
      <c r="AN16" s="16">
        <f t="shared" si="22"/>
        <v>5.5153887922707332</v>
      </c>
      <c r="AO16" s="16">
        <f t="shared" si="22"/>
        <v>5.5153888069503436</v>
      </c>
      <c r="AP16" s="16">
        <f t="shared" si="22"/>
        <v>5.5153888018662016</v>
      </c>
      <c r="AQ16" s="16">
        <f t="shared" si="22"/>
        <v>5.5153888036270455</v>
      </c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1:54" customFormat="1">
      <c r="A17" s="23">
        <v>165.4</v>
      </c>
      <c r="B17" s="16">
        <v>-1.19</v>
      </c>
      <c r="D17" s="14"/>
      <c r="E17" s="15"/>
      <c r="F17" s="15"/>
      <c r="H17" s="21">
        <f t="shared" si="5"/>
        <v>1.19</v>
      </c>
      <c r="I17" s="21">
        <f t="shared" si="1"/>
        <v>0.67892922718664406</v>
      </c>
      <c r="J17" s="21">
        <f t="shared" si="2"/>
        <v>2.7398727572238646</v>
      </c>
      <c r="K17" s="16">
        <f t="shared" si="6"/>
        <v>1.2374259496818734</v>
      </c>
      <c r="L17" s="16">
        <f t="shared" si="7"/>
        <v>1.2374259496818734</v>
      </c>
      <c r="M17" s="16">
        <f t="shared" si="8"/>
        <v>1.0058633799083634</v>
      </c>
      <c r="N17" s="16">
        <f t="shared" si="15"/>
        <v>1.2446814481333255</v>
      </c>
      <c r="O17" s="16">
        <f t="shared" si="16"/>
        <v>0.78539999999999999</v>
      </c>
      <c r="P17" s="16">
        <f t="shared" si="9"/>
        <v>1.2302127449898872</v>
      </c>
      <c r="Q17" s="16">
        <f t="shared" si="10"/>
        <v>0.36794670730767309</v>
      </c>
      <c r="R17" s="16">
        <f t="shared" si="11"/>
        <v>1.1559386725903396</v>
      </c>
      <c r="S17" s="16">
        <f t="shared" si="12"/>
        <v>5.6581353676358409E-3</v>
      </c>
      <c r="T17" s="16">
        <f t="shared" si="13"/>
        <v>0.66</v>
      </c>
      <c r="U17" s="16"/>
      <c r="V17" s="16">
        <f t="shared" si="3"/>
        <v>1.8140555627292949</v>
      </c>
      <c r="W17" s="16">
        <f t="shared" ref="W17:AQ17" si="23">9.81/(2*PI())*$E$9^2*TANH(2*PI()*$H17/V17)</f>
        <v>6.2419559688490045</v>
      </c>
      <c r="X17" s="16">
        <f t="shared" si="23"/>
        <v>5.2022896043257294</v>
      </c>
      <c r="Y17" s="16">
        <f t="shared" si="23"/>
        <v>5.577890918434365</v>
      </c>
      <c r="Z17" s="16">
        <f t="shared" si="23"/>
        <v>5.4445057577837765</v>
      </c>
      <c r="AA17" s="16">
        <f t="shared" si="23"/>
        <v>5.4923400581688631</v>
      </c>
      <c r="AB17" s="16">
        <f t="shared" si="23"/>
        <v>5.4752364199912673</v>
      </c>
      <c r="AC17" s="16">
        <f t="shared" si="23"/>
        <v>5.4813588682662084</v>
      </c>
      <c r="AD17" s="16">
        <f t="shared" si="23"/>
        <v>5.4791681274094284</v>
      </c>
      <c r="AE17" s="16">
        <f t="shared" si="23"/>
        <v>5.4799521317479396</v>
      </c>
      <c r="AF17" s="16">
        <f t="shared" si="23"/>
        <v>5.4796715729126948</v>
      </c>
      <c r="AG17" s="16">
        <f t="shared" si="23"/>
        <v>5.4797719737431967</v>
      </c>
      <c r="AH17" s="16">
        <f t="shared" si="23"/>
        <v>5.4797360445185905</v>
      </c>
      <c r="AI17" s="16">
        <f t="shared" si="23"/>
        <v>5.4797489021032328</v>
      </c>
      <c r="AJ17" s="16">
        <f t="shared" si="23"/>
        <v>5.479744300908874</v>
      </c>
      <c r="AK17" s="16">
        <f t="shared" si="23"/>
        <v>5.4797459474853056</v>
      </c>
      <c r="AL17" s="16">
        <f t="shared" si="23"/>
        <v>5.4797453582440241</v>
      </c>
      <c r="AM17" s="16">
        <f t="shared" si="23"/>
        <v>5.4797455691090011</v>
      </c>
      <c r="AN17" s="16">
        <f t="shared" si="23"/>
        <v>5.4797454936491858</v>
      </c>
      <c r="AO17" s="16">
        <f t="shared" si="23"/>
        <v>5.47974552065312</v>
      </c>
      <c r="AP17" s="16">
        <f t="shared" si="23"/>
        <v>5.4797455109895328</v>
      </c>
      <c r="AQ17" s="16">
        <f t="shared" si="23"/>
        <v>5.4797455144477292</v>
      </c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1:54" customFormat="1">
      <c r="A18" s="23">
        <v>158.80000000000001</v>
      </c>
      <c r="B18" s="16">
        <v>-1.4</v>
      </c>
      <c r="D18" s="14"/>
      <c r="E18" s="15"/>
      <c r="F18" s="15"/>
      <c r="H18" s="21">
        <f t="shared" si="5"/>
        <v>1.4</v>
      </c>
      <c r="I18" s="21">
        <f t="shared" si="1"/>
        <v>0.64122271016986954</v>
      </c>
      <c r="J18" s="21">
        <f t="shared" si="2"/>
        <v>2.8499216855749259</v>
      </c>
      <c r="K18" s="16">
        <f t="shared" si="6"/>
        <v>1.1951239452149069</v>
      </c>
      <c r="L18" s="16">
        <f t="shared" si="7"/>
        <v>1.1951239452149069</v>
      </c>
      <c r="M18" s="16">
        <f t="shared" si="8"/>
        <v>1.0013826643624169</v>
      </c>
      <c r="N18" s="16">
        <f t="shared" si="15"/>
        <v>1.1967764005026267</v>
      </c>
      <c r="O18" s="16">
        <f t="shared" si="16"/>
        <v>0.92399999999999993</v>
      </c>
      <c r="P18" s="16">
        <f t="shared" si="9"/>
        <v>1.1934737715634869</v>
      </c>
      <c r="Q18" s="16">
        <f t="shared" si="10"/>
        <v>0.33088837875948973</v>
      </c>
      <c r="R18" s="16">
        <f t="shared" si="11"/>
        <v>1.0395164998690498</v>
      </c>
      <c r="S18" s="16">
        <f t="shared" si="12"/>
        <v>5.7538915265511349E-3</v>
      </c>
      <c r="T18" s="16">
        <f t="shared" si="13"/>
        <v>0.66</v>
      </c>
      <c r="U18" s="16"/>
      <c r="V18" s="16">
        <f t="shared" si="3"/>
        <v>2.1110323601021839</v>
      </c>
      <c r="W18" s="16">
        <f t="shared" ref="W18:AQ18" si="24">9.81/(2*PI())*$E$9^2*TANH(2*PI()*$H18/V18)</f>
        <v>6.24223975466042</v>
      </c>
      <c r="X18" s="16">
        <f t="shared" si="24"/>
        <v>5.5415298089174376</v>
      </c>
      <c r="Y18" s="16">
        <f t="shared" si="24"/>
        <v>5.7440291356460662</v>
      </c>
      <c r="Z18" s="16">
        <f t="shared" si="24"/>
        <v>5.6873242516810949</v>
      </c>
      <c r="AA18" s="16">
        <f t="shared" si="24"/>
        <v>5.7033761557805329</v>
      </c>
      <c r="AB18" s="16">
        <f t="shared" si="24"/>
        <v>5.6988452999012731</v>
      </c>
      <c r="AC18" s="16">
        <f t="shared" si="24"/>
        <v>5.7001252516255549</v>
      </c>
      <c r="AD18" s="16">
        <f t="shared" si="24"/>
        <v>5.6997637536846719</v>
      </c>
      <c r="AE18" s="16">
        <f t="shared" si="24"/>
        <v>5.699865858602517</v>
      </c>
      <c r="AF18" s="16">
        <f t="shared" si="24"/>
        <v>5.6998370196541606</v>
      </c>
      <c r="AG18" s="16">
        <f t="shared" si="24"/>
        <v>5.6998451650924702</v>
      </c>
      <c r="AH18" s="16">
        <f t="shared" si="24"/>
        <v>5.6998428644514751</v>
      </c>
      <c r="AI18" s="16">
        <f t="shared" si="24"/>
        <v>5.6998435142570472</v>
      </c>
      <c r="AJ18" s="16">
        <f t="shared" si="24"/>
        <v>5.6998433307224454</v>
      </c>
      <c r="AK18" s="16">
        <f t="shared" si="24"/>
        <v>5.6998433825609531</v>
      </c>
      <c r="AL18" s="16">
        <f t="shared" si="24"/>
        <v>5.6998433679194047</v>
      </c>
      <c r="AM18" s="16">
        <f t="shared" si="24"/>
        <v>5.6998433720548434</v>
      </c>
      <c r="AN18" s="16">
        <f t="shared" si="24"/>
        <v>5.699843370886807</v>
      </c>
      <c r="AO18" s="16">
        <f t="shared" si="24"/>
        <v>5.6998433712167129</v>
      </c>
      <c r="AP18" s="16">
        <f t="shared" si="24"/>
        <v>5.6998433711235323</v>
      </c>
      <c r="AQ18" s="16">
        <f t="shared" si="24"/>
        <v>5.6998433711498517</v>
      </c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1:54" customFormat="1">
      <c r="A19" s="23">
        <v>148.80000000000001</v>
      </c>
      <c r="B19" s="16">
        <v>-1.85</v>
      </c>
      <c r="D19" s="14"/>
      <c r="E19" s="15"/>
      <c r="F19" s="15"/>
      <c r="H19" s="21">
        <f t="shared" si="5"/>
        <v>1.85</v>
      </c>
      <c r="I19" s="21">
        <f t="shared" si="1"/>
        <v>0.58018673947251198</v>
      </c>
      <c r="J19" s="21">
        <f t="shared" si="2"/>
        <v>2.9962032078027327</v>
      </c>
      <c r="K19" s="16">
        <f t="shared" si="6"/>
        <v>1.1162258952729127</v>
      </c>
      <c r="L19" s="16">
        <f t="shared" si="7"/>
        <v>1.1162258952729127</v>
      </c>
      <c r="M19" s="16">
        <f t="shared" si="8"/>
        <v>1.000476460778996</v>
      </c>
      <c r="N19" s="16">
        <f t="shared" si="15"/>
        <v>1.11675773313251</v>
      </c>
      <c r="O19" s="16">
        <f t="shared" si="16"/>
        <v>1.11675773313251</v>
      </c>
      <c r="P19" s="16">
        <f t="shared" si="9"/>
        <v>1.1156943106925188</v>
      </c>
      <c r="Q19" s="16">
        <f t="shared" si="10"/>
        <v>0.33864193914731849</v>
      </c>
      <c r="R19" s="16">
        <f t="shared" si="11"/>
        <v>1.0638750282226175</v>
      </c>
      <c r="S19" s="16">
        <f t="shared" si="12"/>
        <v>5.7326911766209503E-3</v>
      </c>
      <c r="T19" s="16">
        <f t="shared" si="13"/>
        <v>0.6036528287202757</v>
      </c>
      <c r="U19" s="16"/>
      <c r="V19" s="16">
        <f t="shared" si="3"/>
        <v>2.7111500411764866</v>
      </c>
      <c r="W19" s="16">
        <f t="shared" ref="W19:AQ19" si="25">9.81/(2*PI())*$E$9^2*TANH(2*PI()*$H19/V19)</f>
        <v>6.2428823449155937</v>
      </c>
      <c r="X19" s="16">
        <f t="shared" si="25"/>
        <v>5.9508273416409763</v>
      </c>
      <c r="Y19" s="16">
        <f t="shared" si="25"/>
        <v>5.9990345845336304</v>
      </c>
      <c r="Z19" s="16">
        <f t="shared" si="25"/>
        <v>5.9913424211509128</v>
      </c>
      <c r="AA19" s="16">
        <f t="shared" si="25"/>
        <v>5.9925770260013378</v>
      </c>
      <c r="AB19" s="16">
        <f t="shared" si="25"/>
        <v>5.992379053551832</v>
      </c>
      <c r="AC19" s="16">
        <f t="shared" si="25"/>
        <v>5.9924108037359396</v>
      </c>
      <c r="AD19" s="16">
        <f t="shared" si="25"/>
        <v>5.9924057118652714</v>
      </c>
      <c r="AE19" s="16">
        <f t="shared" si="25"/>
        <v>5.9924065284667156</v>
      </c>
      <c r="AF19" s="16">
        <f t="shared" si="25"/>
        <v>5.992406397505512</v>
      </c>
      <c r="AG19" s="16">
        <f t="shared" si="25"/>
        <v>5.9924064185082164</v>
      </c>
      <c r="AH19" s="16">
        <f t="shared" si="25"/>
        <v>5.9924064151399392</v>
      </c>
      <c r="AI19" s="16">
        <f t="shared" si="25"/>
        <v>5.9924064156801231</v>
      </c>
      <c r="AJ19" s="16">
        <f t="shared" si="25"/>
        <v>5.9924064155934902</v>
      </c>
      <c r="AK19" s="16">
        <f t="shared" si="25"/>
        <v>5.9924064156073857</v>
      </c>
      <c r="AL19" s="16">
        <f t="shared" si="25"/>
        <v>5.9924064156051564</v>
      </c>
      <c r="AM19" s="16">
        <f t="shared" si="25"/>
        <v>5.9924064156055143</v>
      </c>
      <c r="AN19" s="16">
        <f t="shared" si="25"/>
        <v>5.9924064156054566</v>
      </c>
      <c r="AO19" s="16">
        <f t="shared" si="25"/>
        <v>5.9924064156054655</v>
      </c>
      <c r="AP19" s="16">
        <f t="shared" si="25"/>
        <v>5.9924064156054637</v>
      </c>
      <c r="AQ19" s="16">
        <f t="shared" si="25"/>
        <v>5.9924064156054655</v>
      </c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1:54" customFormat="1">
      <c r="A20" s="23">
        <v>132.80000000000001</v>
      </c>
      <c r="B20" s="16">
        <v>-1.92</v>
      </c>
      <c r="C20" s="9"/>
      <c r="D20" s="15"/>
      <c r="E20" s="15"/>
      <c r="F20" s="15"/>
      <c r="H20" s="21">
        <f t="shared" si="5"/>
        <v>1.92</v>
      </c>
      <c r="I20" s="21">
        <f t="shared" si="1"/>
        <v>0.57292844858364245</v>
      </c>
      <c r="J20" s="21">
        <f t="shared" si="2"/>
        <v>3.011010296307127</v>
      </c>
      <c r="K20" s="16">
        <f t="shared" si="6"/>
        <v>1.1064367527808721</v>
      </c>
      <c r="L20" s="16">
        <f t="shared" si="7"/>
        <v>1.1064367527808721</v>
      </c>
      <c r="M20" s="16">
        <f t="shared" si="8"/>
        <v>1.000847248546832</v>
      </c>
      <c r="N20" s="16">
        <f t="shared" si="15"/>
        <v>1.1073741797118273</v>
      </c>
      <c r="O20" s="16">
        <f t="shared" si="16"/>
        <v>1.1073741797118273</v>
      </c>
      <c r="P20" s="16">
        <f t="shared" si="9"/>
        <v>1.1055001194111782</v>
      </c>
      <c r="Q20" s="16">
        <f t="shared" si="10"/>
        <v>0.4017565717302361</v>
      </c>
      <c r="R20" s="16">
        <f t="shared" si="11"/>
        <v>1.2621554942791304</v>
      </c>
      <c r="S20" s="16">
        <f t="shared" si="12"/>
        <v>5.5815015022725777E-3</v>
      </c>
      <c r="T20" s="16">
        <f t="shared" si="13"/>
        <v>0.57675738526657672</v>
      </c>
      <c r="U20" s="16"/>
      <c r="V20" s="16">
        <f t="shared" si="3"/>
        <v>2.7996311679194807</v>
      </c>
      <c r="W20" s="16">
        <f t="shared" ref="W20:AQ20" si="26">9.81/(2*PI())*$E$9^2*TANH(2*PI()*$H20/V20)</f>
        <v>6.2429819969610234</v>
      </c>
      <c r="X20" s="16">
        <f t="shared" si="26"/>
        <v>5.9887110098021505</v>
      </c>
      <c r="Y20" s="16">
        <f t="shared" si="26"/>
        <v>6.0268539184251404</v>
      </c>
      <c r="Z20" s="16">
        <f t="shared" si="26"/>
        <v>6.0213150917685434</v>
      </c>
      <c r="AA20" s="16">
        <f t="shared" si="26"/>
        <v>6.0221234835463386</v>
      </c>
      <c r="AB20" s="16">
        <f t="shared" si="26"/>
        <v>6.0220055850232654</v>
      </c>
      <c r="AC20" s="16">
        <f t="shared" si="26"/>
        <v>6.0220227815698273</v>
      </c>
      <c r="AD20" s="16">
        <f t="shared" si="26"/>
        <v>6.0220202733398764</v>
      </c>
      <c r="AE20" s="16">
        <f t="shared" si="26"/>
        <v>6.0220206391826219</v>
      </c>
      <c r="AF20" s="16">
        <f t="shared" si="26"/>
        <v>6.0220205858219353</v>
      </c>
      <c r="AG20" s="16">
        <f t="shared" si="26"/>
        <v>6.0220205936049593</v>
      </c>
      <c r="AH20" s="16">
        <f t="shared" si="26"/>
        <v>6.0220205924697519</v>
      </c>
      <c r="AI20" s="16">
        <f t="shared" si="26"/>
        <v>6.0220205926353296</v>
      </c>
      <c r="AJ20" s="16">
        <f t="shared" si="26"/>
        <v>6.0220205926111801</v>
      </c>
      <c r="AK20" s="16">
        <f t="shared" si="26"/>
        <v>6.0220205926147026</v>
      </c>
      <c r="AL20" s="16">
        <f t="shared" si="26"/>
        <v>6.0220205926141883</v>
      </c>
      <c r="AM20" s="16">
        <f t="shared" si="26"/>
        <v>6.0220205926142638</v>
      </c>
      <c r="AN20" s="16">
        <f t="shared" si="26"/>
        <v>6.0220205926142514</v>
      </c>
      <c r="AO20" s="16">
        <f t="shared" si="26"/>
        <v>6.022020592614254</v>
      </c>
      <c r="AP20" s="16">
        <f t="shared" si="26"/>
        <v>6.0220205926142523</v>
      </c>
      <c r="AQ20" s="16">
        <f t="shared" si="26"/>
        <v>6.022020592614254</v>
      </c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1:54" customFormat="1">
      <c r="A21" s="23">
        <v>128.80000000000001</v>
      </c>
      <c r="B21" s="16">
        <v>-1.77</v>
      </c>
      <c r="C21" s="9"/>
      <c r="D21" s="15"/>
      <c r="E21" s="15"/>
      <c r="F21" s="15"/>
      <c r="H21" s="21">
        <f t="shared" si="5"/>
        <v>1.77</v>
      </c>
      <c r="I21" s="21">
        <f t="shared" si="1"/>
        <v>0.58917736344107896</v>
      </c>
      <c r="J21" s="21">
        <f t="shared" si="2"/>
        <v>2.9770891011019391</v>
      </c>
      <c r="K21" s="16">
        <f t="shared" si="6"/>
        <v>1.1301247432217874</v>
      </c>
      <c r="L21" s="16">
        <f t="shared" si="7"/>
        <v>1.1301247432217874</v>
      </c>
      <c r="M21" s="16">
        <f t="shared" si="8"/>
        <v>1.0003732580664584</v>
      </c>
      <c r="N21" s="16">
        <f t="shared" si="15"/>
        <v>1.1305465713982992</v>
      </c>
      <c r="O21" s="16">
        <f t="shared" si="16"/>
        <v>1.1305465713982992</v>
      </c>
      <c r="P21" s="16">
        <f t="shared" si="9"/>
        <v>1.1297030724372974</v>
      </c>
      <c r="Q21" s="16">
        <f t="shared" si="10"/>
        <v>0.41491811398733031</v>
      </c>
      <c r="R21" s="16">
        <f t="shared" si="11"/>
        <v>1.3035036987439292</v>
      </c>
      <c r="S21" s="16">
        <f t="shared" si="12"/>
        <v>5.5539853789975677E-3</v>
      </c>
      <c r="T21" s="16">
        <f t="shared" si="13"/>
        <v>0.63872687649621418</v>
      </c>
      <c r="U21" s="16"/>
      <c r="V21" s="16">
        <f t="shared" si="3"/>
        <v>2.6083627052816252</v>
      </c>
      <c r="W21" s="16">
        <f t="shared" ref="W21:AQ21" si="27">9.81/(2*PI())*$E$9^2*TANH(2*PI()*$H21/V21)</f>
        <v>6.2427676561120053</v>
      </c>
      <c r="X21" s="16">
        <f t="shared" si="27"/>
        <v>5.9008269369114581</v>
      </c>
      <c r="Y21" s="16">
        <f t="shared" si="27"/>
        <v>5.9636266629069068</v>
      </c>
      <c r="Z21" s="16">
        <f t="shared" si="27"/>
        <v>5.9524909390748633</v>
      </c>
      <c r="AA21" s="16">
        <f t="shared" si="27"/>
        <v>5.9544790669652121</v>
      </c>
      <c r="AB21" s="16">
        <f t="shared" si="27"/>
        <v>5.9541245394346252</v>
      </c>
      <c r="AC21" s="16">
        <f t="shared" si="27"/>
        <v>5.9541877731450841</v>
      </c>
      <c r="AD21" s="16">
        <f t="shared" si="27"/>
        <v>5.9541764951791327</v>
      </c>
      <c r="AE21" s="16">
        <f t="shared" si="27"/>
        <v>5.9541785066597424</v>
      </c>
      <c r="AF21" s="16">
        <f t="shared" si="27"/>
        <v>5.9541781479027351</v>
      </c>
      <c r="AG21" s="16">
        <f t="shared" si="27"/>
        <v>5.9541782118887454</v>
      </c>
      <c r="AH21" s="16">
        <f t="shared" si="27"/>
        <v>5.9541782004765365</v>
      </c>
      <c r="AI21" s="16">
        <f t="shared" si="27"/>
        <v>5.954178202511959</v>
      </c>
      <c r="AJ21" s="16">
        <f t="shared" si="27"/>
        <v>5.9541782021489311</v>
      </c>
      <c r="AK21" s="16">
        <f t="shared" si="27"/>
        <v>5.9541782022136793</v>
      </c>
      <c r="AL21" s="16">
        <f t="shared" si="27"/>
        <v>5.9541782022021321</v>
      </c>
      <c r="AM21" s="16">
        <f t="shared" si="27"/>
        <v>5.9541782022041909</v>
      </c>
      <c r="AN21" s="16">
        <f t="shared" si="27"/>
        <v>5.9541782022038232</v>
      </c>
      <c r="AO21" s="16">
        <f t="shared" si="27"/>
        <v>5.954178202203888</v>
      </c>
      <c r="AP21" s="16">
        <f t="shared" si="27"/>
        <v>5.9541782022038774</v>
      </c>
      <c r="AQ21" s="16">
        <f t="shared" si="27"/>
        <v>5.9541782022038783</v>
      </c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1:54" customFormat="1">
      <c r="A22" s="23">
        <v>123.2</v>
      </c>
      <c r="B22" s="16">
        <v>-1.5219999999999998</v>
      </c>
      <c r="C22" s="9"/>
      <c r="D22" s="24"/>
      <c r="E22" s="15"/>
      <c r="F22" s="15"/>
      <c r="H22" s="21">
        <f t="shared" si="5"/>
        <v>1.5219999999999998</v>
      </c>
      <c r="I22" s="21">
        <f t="shared" si="1"/>
        <v>0.62208227849480147</v>
      </c>
      <c r="J22" s="21">
        <f t="shared" si="2"/>
        <v>2.8999616081081028</v>
      </c>
      <c r="K22" s="16">
        <f t="shared" si="6"/>
        <v>1.1740270700129047</v>
      </c>
      <c r="L22" s="16">
        <f t="shared" si="7"/>
        <v>1.1740270700129047</v>
      </c>
      <c r="M22" s="16">
        <f t="shared" si="8"/>
        <v>1.0011758087996812</v>
      </c>
      <c r="N22" s="16">
        <f t="shared" si="15"/>
        <v>1.1754075013728897</v>
      </c>
      <c r="O22" s="16">
        <f t="shared" si="16"/>
        <v>1.0045199999999999</v>
      </c>
      <c r="P22" s="16">
        <f t="shared" si="9"/>
        <v>1.1726482598700187</v>
      </c>
      <c r="Q22" s="16">
        <f t="shared" si="10"/>
        <v>0.45681017240335658</v>
      </c>
      <c r="R22" s="16">
        <f t="shared" si="11"/>
        <v>1.4351114817074719</v>
      </c>
      <c r="S22" s="16">
        <f t="shared" si="12"/>
        <v>5.4736858889531314E-3</v>
      </c>
      <c r="T22" s="16">
        <f t="shared" si="13"/>
        <v>0.66</v>
      </c>
      <c r="U22" s="16"/>
      <c r="V22" s="16">
        <f t="shared" si="3"/>
        <v>2.2788519680358492</v>
      </c>
      <c r="W22" s="16">
        <f t="shared" ref="W22:AQ22" si="28">9.81/(2*PI())*$E$9^2*TANH(2*PI()*$H22/V22)</f>
        <v>6.242411694584165</v>
      </c>
      <c r="X22" s="16">
        <f t="shared" si="28"/>
        <v>5.6878910798770459</v>
      </c>
      <c r="Y22" s="16">
        <f t="shared" si="28"/>
        <v>5.8269904076461687</v>
      </c>
      <c r="Z22" s="16">
        <f t="shared" si="28"/>
        <v>5.7932980722648173</v>
      </c>
      <c r="AA22" s="16">
        <f t="shared" si="28"/>
        <v>5.8015398586063336</v>
      </c>
      <c r="AB22" s="16">
        <f t="shared" si="28"/>
        <v>5.7995284310119342</v>
      </c>
      <c r="AC22" s="16">
        <f t="shared" si="28"/>
        <v>5.8000196052845023</v>
      </c>
      <c r="AD22" s="16">
        <f t="shared" si="28"/>
        <v>5.7998996812139465</v>
      </c>
      <c r="AE22" s="16">
        <f t="shared" si="28"/>
        <v>5.7999289626168986</v>
      </c>
      <c r="AF22" s="16">
        <f t="shared" si="28"/>
        <v>5.7999218131477681</v>
      </c>
      <c r="AG22" s="16">
        <f t="shared" si="28"/>
        <v>5.7999235587954256</v>
      </c>
      <c r="AH22" s="16">
        <f t="shared" si="28"/>
        <v>5.7999231325701786</v>
      </c>
      <c r="AI22" s="16">
        <f t="shared" si="28"/>
        <v>5.7999232366392812</v>
      </c>
      <c r="AJ22" s="16">
        <f t="shared" si="28"/>
        <v>5.7999232112292951</v>
      </c>
      <c r="AK22" s="16">
        <f t="shared" si="28"/>
        <v>5.7999232174335118</v>
      </c>
      <c r="AL22" s="16">
        <f t="shared" si="28"/>
        <v>5.7999232159186631</v>
      </c>
      <c r="AM22" s="16">
        <f t="shared" si="28"/>
        <v>5.7999232162885352</v>
      </c>
      <c r="AN22" s="16">
        <f t="shared" si="28"/>
        <v>5.7999232161982253</v>
      </c>
      <c r="AO22" s="16">
        <f t="shared" si="28"/>
        <v>5.7999232162202761</v>
      </c>
      <c r="AP22" s="16">
        <f t="shared" si="28"/>
        <v>5.7999232162148928</v>
      </c>
      <c r="AQ22" s="16">
        <f t="shared" si="28"/>
        <v>5.7999232162162055</v>
      </c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1:54" customFormat="1">
      <c r="A23" s="23">
        <v>118.4</v>
      </c>
      <c r="B23" s="16">
        <v>-1.19</v>
      </c>
      <c r="C23" s="9"/>
      <c r="D23" s="15"/>
      <c r="E23" s="15"/>
      <c r="F23" s="15"/>
      <c r="H23" s="21">
        <f t="shared" si="5"/>
        <v>1.19</v>
      </c>
      <c r="I23" s="21">
        <f t="shared" si="1"/>
        <v>0.67892922718664406</v>
      </c>
      <c r="J23" s="21">
        <f t="shared" si="2"/>
        <v>2.7398727572238646</v>
      </c>
      <c r="K23" s="16">
        <f t="shared" si="6"/>
        <v>1.2499866674653601</v>
      </c>
      <c r="L23" s="16">
        <f t="shared" si="7"/>
        <v>1.2499866674653601</v>
      </c>
      <c r="M23" s="16">
        <f t="shared" si="8"/>
        <v>1.0031922194049352</v>
      </c>
      <c r="N23" s="16">
        <f t="shared" si="15"/>
        <v>1.2539768991611533</v>
      </c>
      <c r="O23" s="16">
        <f t="shared" si="16"/>
        <v>0.78539999999999999</v>
      </c>
      <c r="P23" s="16">
        <f t="shared" si="9"/>
        <v>1.2460091329324865</v>
      </c>
      <c r="Q23" s="16">
        <f t="shared" si="10"/>
        <v>0.45902859714940841</v>
      </c>
      <c r="R23" s="16">
        <f t="shared" si="11"/>
        <v>1.4420808685922102</v>
      </c>
      <c r="S23" s="16">
        <f t="shared" si="12"/>
        <v>5.4697117254730041E-3</v>
      </c>
      <c r="T23" s="16">
        <f t="shared" si="13"/>
        <v>0.66</v>
      </c>
      <c r="U23" s="16"/>
      <c r="V23" s="16">
        <f t="shared" si="3"/>
        <v>1.8140555627292949</v>
      </c>
      <c r="W23" s="16">
        <f t="shared" ref="W23:AQ23" si="29">9.81/(2*PI())*$E$9^2*TANH(2*PI()*$H23/V23)</f>
        <v>6.2419559688490045</v>
      </c>
      <c r="X23" s="16">
        <f t="shared" si="29"/>
        <v>5.2022896043257294</v>
      </c>
      <c r="Y23" s="16">
        <f t="shared" si="29"/>
        <v>5.577890918434365</v>
      </c>
      <c r="Z23" s="16">
        <f t="shared" si="29"/>
        <v>5.4445057577837765</v>
      </c>
      <c r="AA23" s="16">
        <f t="shared" si="29"/>
        <v>5.4923400581688631</v>
      </c>
      <c r="AB23" s="16">
        <f t="shared" si="29"/>
        <v>5.4752364199912673</v>
      </c>
      <c r="AC23" s="16">
        <f t="shared" si="29"/>
        <v>5.4813588682662084</v>
      </c>
      <c r="AD23" s="16">
        <f t="shared" si="29"/>
        <v>5.4791681274094284</v>
      </c>
      <c r="AE23" s="16">
        <f t="shared" si="29"/>
        <v>5.4799521317479396</v>
      </c>
      <c r="AF23" s="16">
        <f t="shared" si="29"/>
        <v>5.4796715729126948</v>
      </c>
      <c r="AG23" s="16">
        <f t="shared" si="29"/>
        <v>5.4797719737431967</v>
      </c>
      <c r="AH23" s="16">
        <f t="shared" si="29"/>
        <v>5.4797360445185905</v>
      </c>
      <c r="AI23" s="16">
        <f t="shared" si="29"/>
        <v>5.4797489021032328</v>
      </c>
      <c r="AJ23" s="16">
        <f t="shared" si="29"/>
        <v>5.479744300908874</v>
      </c>
      <c r="AK23" s="16">
        <f t="shared" si="29"/>
        <v>5.4797459474853056</v>
      </c>
      <c r="AL23" s="16">
        <f t="shared" si="29"/>
        <v>5.4797453582440241</v>
      </c>
      <c r="AM23" s="16">
        <f t="shared" si="29"/>
        <v>5.4797455691090011</v>
      </c>
      <c r="AN23" s="16">
        <f t="shared" si="29"/>
        <v>5.4797454936491858</v>
      </c>
      <c r="AO23" s="16">
        <f t="shared" si="29"/>
        <v>5.47974552065312</v>
      </c>
      <c r="AP23" s="16">
        <f t="shared" si="29"/>
        <v>5.4797455109895328</v>
      </c>
      <c r="AQ23" s="16">
        <f t="shared" si="29"/>
        <v>5.4797455144477292</v>
      </c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1:54" customFormat="1">
      <c r="A24" s="23">
        <v>113.3</v>
      </c>
      <c r="B24" s="16">
        <v>-0.89</v>
      </c>
      <c r="D24" s="14"/>
      <c r="E24" s="15"/>
      <c r="F24" s="15"/>
      <c r="H24" s="21">
        <f t="shared" si="5"/>
        <v>0.89</v>
      </c>
      <c r="I24" s="21">
        <f t="shared" si="1"/>
        <v>0.743313061341356</v>
      </c>
      <c r="J24" s="21">
        <f t="shared" si="2"/>
        <v>2.5134500875666212</v>
      </c>
      <c r="K24" s="16">
        <f t="shared" si="6"/>
        <v>1.3484311440666565</v>
      </c>
      <c r="L24" s="16">
        <f t="shared" si="7"/>
        <v>1.3484311440666565</v>
      </c>
      <c r="M24" s="16">
        <f t="shared" si="8"/>
        <v>1.0101662044702493</v>
      </c>
      <c r="N24" s="16">
        <f t="shared" si="15"/>
        <v>1.3621395707912904</v>
      </c>
      <c r="O24" s="16">
        <f t="shared" si="16"/>
        <v>0.58740000000000003</v>
      </c>
      <c r="P24" s="16">
        <f t="shared" si="9"/>
        <v>1.3348606774800984</v>
      </c>
      <c r="Q24" s="16">
        <f t="shared" si="10"/>
        <v>0.41500232418100624</v>
      </c>
      <c r="R24" s="16">
        <f t="shared" si="11"/>
        <v>1.303768252869739</v>
      </c>
      <c r="S24" s="16">
        <f t="shared" si="12"/>
        <v>5.5538131264797584E-3</v>
      </c>
      <c r="T24" s="16">
        <f t="shared" si="13"/>
        <v>0.66</v>
      </c>
      <c r="U24" s="16"/>
      <c r="V24" s="16">
        <f t="shared" si="3"/>
        <v>1.3741030772093568</v>
      </c>
      <c r="W24" s="16">
        <f t="shared" ref="W24:AQ24" si="30">9.81/(2*PI())*$E$9^2*TANH(2*PI()*$H24/V24)</f>
        <v>6.2415953474380856</v>
      </c>
      <c r="X24" s="16">
        <f t="shared" si="30"/>
        <v>4.4610406195348116</v>
      </c>
      <c r="Y24" s="16">
        <f t="shared" si="30"/>
        <v>5.3038931515408123</v>
      </c>
      <c r="Z24" s="16">
        <f t="shared" si="30"/>
        <v>4.8930375672743205</v>
      </c>
      <c r="AA24" s="16">
        <f t="shared" si="30"/>
        <v>5.0922025067944441</v>
      </c>
      <c r="AB24" s="16">
        <f t="shared" si="30"/>
        <v>4.9951666978490881</v>
      </c>
      <c r="AC24" s="16">
        <f t="shared" si="30"/>
        <v>5.0423514991721605</v>
      </c>
      <c r="AD24" s="16">
        <f t="shared" si="30"/>
        <v>5.0193826453484709</v>
      </c>
      <c r="AE24" s="16">
        <f t="shared" si="30"/>
        <v>5.0305580107009549</v>
      </c>
      <c r="AF24" s="16">
        <f t="shared" si="30"/>
        <v>5.0251193539690524</v>
      </c>
      <c r="AG24" s="16">
        <f t="shared" si="30"/>
        <v>5.0277658421196918</v>
      </c>
      <c r="AH24" s="16">
        <f t="shared" si="30"/>
        <v>5.0264779676243627</v>
      </c>
      <c r="AI24" s="16">
        <f t="shared" si="30"/>
        <v>5.0271046750887614</v>
      </c>
      <c r="AJ24" s="16">
        <f t="shared" si="30"/>
        <v>5.0267997015426866</v>
      </c>
      <c r="AK24" s="16">
        <f t="shared" si="30"/>
        <v>5.0269481092873276</v>
      </c>
      <c r="AL24" s="16">
        <f t="shared" si="30"/>
        <v>5.0268758901368154</v>
      </c>
      <c r="AM24" s="16">
        <f t="shared" si="30"/>
        <v>5.0269110338380134</v>
      </c>
      <c r="AN24" s="16">
        <f t="shared" si="30"/>
        <v>5.0268939319934489</v>
      </c>
      <c r="AO24" s="16">
        <f t="shared" si="30"/>
        <v>5.026902254195373</v>
      </c>
      <c r="AP24" s="16">
        <f t="shared" si="30"/>
        <v>5.0268982043949393</v>
      </c>
      <c r="AQ24" s="16">
        <f t="shared" si="30"/>
        <v>5.0269001751332425</v>
      </c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1:54" customFormat="1">
      <c r="A25" s="23">
        <v>108.8</v>
      </c>
      <c r="B25" s="16">
        <v>-0.68</v>
      </c>
      <c r="D25" s="14"/>
      <c r="E25" s="15"/>
      <c r="F25" s="15"/>
      <c r="H25" s="21">
        <f t="shared" si="5"/>
        <v>0.68</v>
      </c>
      <c r="I25" s="21">
        <f t="shared" si="1"/>
        <v>0.79552475769803133</v>
      </c>
      <c r="J25" s="21">
        <f t="shared" si="2"/>
        <v>2.2872187017570327</v>
      </c>
      <c r="K25" s="16">
        <f t="shared" si="6"/>
        <v>1.4569407250352628</v>
      </c>
      <c r="L25" s="16">
        <f t="shared" si="7"/>
        <v>1.4569407250352628</v>
      </c>
      <c r="M25" s="16">
        <f t="shared" si="8"/>
        <v>1.0202157315554765</v>
      </c>
      <c r="N25" s="16">
        <f t="shared" si="15"/>
        <v>1.4863938476248171</v>
      </c>
      <c r="O25" s="16">
        <f t="shared" si="16"/>
        <v>0.44880000000000003</v>
      </c>
      <c r="P25" s="16">
        <f t="shared" si="9"/>
        <v>1.428071220597561</v>
      </c>
      <c r="Q25" s="16">
        <f t="shared" si="10"/>
        <v>0.35508646725510079</v>
      </c>
      <c r="R25" s="16">
        <f t="shared" si="11"/>
        <v>1.1155370369177773</v>
      </c>
      <c r="S25" s="16">
        <f t="shared" si="12"/>
        <v>5.6898276370825644E-3</v>
      </c>
      <c r="T25" s="16">
        <f t="shared" si="13"/>
        <v>0.66</v>
      </c>
      <c r="U25" s="16"/>
      <c r="V25" s="16">
        <f t="shared" si="3"/>
        <v>1.0570565820645579</v>
      </c>
      <c r="W25" s="16">
        <f t="shared" ref="W25:AQ25" si="31">9.81/(2*PI())*$E$9^2*TANH(2*PI()*$H25/V25)</f>
        <v>6.24138824277835</v>
      </c>
      <c r="X25" s="16">
        <f t="shared" si="31"/>
        <v>3.7126194580866048</v>
      </c>
      <c r="Y25" s="16">
        <f t="shared" si="31"/>
        <v>5.1087709884725134</v>
      </c>
      <c r="Z25" s="16">
        <f t="shared" si="31"/>
        <v>4.2708375075390652</v>
      </c>
      <c r="AA25" s="16">
        <f t="shared" si="31"/>
        <v>4.7573994551281924</v>
      </c>
      <c r="AB25" s="16">
        <f t="shared" si="31"/>
        <v>4.4676315860938871</v>
      </c>
      <c r="AC25" s="16">
        <f t="shared" si="31"/>
        <v>4.63795866180351</v>
      </c>
      <c r="AD25" s="16">
        <f t="shared" si="31"/>
        <v>4.5369957161609653</v>
      </c>
      <c r="AE25" s="16">
        <f t="shared" si="31"/>
        <v>4.5965598898600941</v>
      </c>
      <c r="AF25" s="16">
        <f t="shared" si="31"/>
        <v>4.5613181119986042</v>
      </c>
      <c r="AG25" s="16">
        <f t="shared" si="31"/>
        <v>4.5821344366530736</v>
      </c>
      <c r="AH25" s="16">
        <f t="shared" si="31"/>
        <v>4.5698265383274546</v>
      </c>
      <c r="AI25" s="16">
        <f t="shared" si="31"/>
        <v>4.5770994606221134</v>
      </c>
      <c r="AJ25" s="16">
        <f t="shared" si="31"/>
        <v>4.5728002857524555</v>
      </c>
      <c r="AK25" s="16">
        <f t="shared" si="31"/>
        <v>4.5753410954489961</v>
      </c>
      <c r="AL25" s="16">
        <f t="shared" si="31"/>
        <v>4.5738392960994769</v>
      </c>
      <c r="AM25" s="16">
        <f t="shared" si="31"/>
        <v>4.5747269027189494</v>
      </c>
      <c r="AN25" s="16">
        <f t="shared" si="31"/>
        <v>4.5742022794206152</v>
      </c>
      <c r="AO25" s="16">
        <f t="shared" si="31"/>
        <v>4.5745123522627056</v>
      </c>
      <c r="AP25" s="16">
        <f t="shared" si="31"/>
        <v>4.5743290843976316</v>
      </c>
      <c r="AQ25" s="16">
        <f t="shared" si="31"/>
        <v>4.5744374035140654</v>
      </c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1:54" customFormat="1">
      <c r="A26" s="23">
        <v>106.3</v>
      </c>
      <c r="B26" s="16">
        <v>-0.65</v>
      </c>
      <c r="D26" s="14"/>
      <c r="E26" s="15"/>
      <c r="F26" s="15"/>
      <c r="H26" s="21">
        <f t="shared" si="5"/>
        <v>0.65</v>
      </c>
      <c r="I26" s="21">
        <f t="shared" si="1"/>
        <v>0.80344362448606854</v>
      </c>
      <c r="J26" s="21">
        <f t="shared" si="2"/>
        <v>2.2488996710847076</v>
      </c>
      <c r="K26" s="16">
        <f t="shared" si="6"/>
        <v>1.5032554535604454</v>
      </c>
      <c r="L26" s="16">
        <f t="shared" si="7"/>
        <v>1.5032554535604454</v>
      </c>
      <c r="M26" s="16">
        <f t="shared" si="8"/>
        <v>1.0094868427128574</v>
      </c>
      <c r="N26" s="16">
        <f t="shared" si="15"/>
        <v>1.5175166016056185</v>
      </c>
      <c r="O26" s="16">
        <f t="shared" si="16"/>
        <v>0.42900000000000005</v>
      </c>
      <c r="P26" s="16">
        <f t="shared" si="9"/>
        <v>1.4891283273397131</v>
      </c>
      <c r="Q26" s="16">
        <f t="shared" si="10"/>
        <v>0.27749221608085756</v>
      </c>
      <c r="R26" s="16">
        <f t="shared" si="11"/>
        <v>0.87176750746797349</v>
      </c>
      <c r="S26" s="16">
        <f t="shared" si="12"/>
        <v>5.9208183500369443E-3</v>
      </c>
      <c r="T26" s="16">
        <f t="shared" si="13"/>
        <v>0.66</v>
      </c>
      <c r="U26" s="16"/>
      <c r="V26" s="16">
        <f t="shared" si="3"/>
        <v>1.0112599945728313</v>
      </c>
      <c r="W26" s="16">
        <f t="shared" ref="W26:AQ26" si="32">9.81/(2*PI())*$E$9^2*TANH(2*PI()*$H26/V26)</f>
        <v>6.2413623538790146</v>
      </c>
      <c r="X26" s="16">
        <f t="shared" si="32"/>
        <v>3.5884826012370228</v>
      </c>
      <c r="Y26" s="16">
        <f t="shared" si="32"/>
        <v>5.0822204579106689</v>
      </c>
      <c r="Z26" s="16">
        <f t="shared" si="32"/>
        <v>4.1596068029585442</v>
      </c>
      <c r="AA26" s="16">
        <f t="shared" si="32"/>
        <v>4.7080462266704366</v>
      </c>
      <c r="AB26" s="16">
        <f t="shared" si="32"/>
        <v>4.3721952422294086</v>
      </c>
      <c r="AC26" s="16">
        <f t="shared" si="32"/>
        <v>4.5746384926991128</v>
      </c>
      <c r="AD26" s="16">
        <f t="shared" si="32"/>
        <v>4.4513323476638718</v>
      </c>
      <c r="AE26" s="16">
        <f t="shared" si="32"/>
        <v>4.5259860271658496</v>
      </c>
      <c r="AF26" s="16">
        <f t="shared" si="32"/>
        <v>4.4806176610053141</v>
      </c>
      <c r="AG26" s="16">
        <f t="shared" si="32"/>
        <v>4.5081270117693943</v>
      </c>
      <c r="AH26" s="16">
        <f t="shared" si="32"/>
        <v>4.4914235825214401</v>
      </c>
      <c r="AI26" s="16">
        <f t="shared" si="32"/>
        <v>4.501557337112577</v>
      </c>
      <c r="AJ26" s="16">
        <f t="shared" si="32"/>
        <v>4.4954062081908477</v>
      </c>
      <c r="AK26" s="16">
        <f t="shared" si="32"/>
        <v>4.499138763647637</v>
      </c>
      <c r="AL26" s="16">
        <f t="shared" si="32"/>
        <v>4.4968733967591064</v>
      </c>
      <c r="AM26" s="16">
        <f t="shared" si="32"/>
        <v>4.4982481406936801</v>
      </c>
      <c r="AN26" s="16">
        <f t="shared" si="32"/>
        <v>4.4974138164970983</v>
      </c>
      <c r="AO26" s="16">
        <f t="shared" si="32"/>
        <v>4.4979201420075245</v>
      </c>
      <c r="AP26" s="16">
        <f t="shared" si="32"/>
        <v>4.497612860984721</v>
      </c>
      <c r="AQ26" s="16">
        <f t="shared" si="32"/>
        <v>4.4977993421694151</v>
      </c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1:54" customFormat="1">
      <c r="A27" s="23">
        <v>102.3</v>
      </c>
      <c r="B27" s="16">
        <v>-0.56999999999999995</v>
      </c>
      <c r="D27" s="14"/>
      <c r="E27" s="15"/>
      <c r="F27" s="15"/>
      <c r="H27" s="21">
        <f t="shared" si="5"/>
        <v>0.56999999999999995</v>
      </c>
      <c r="I27" s="21">
        <f t="shared" si="1"/>
        <v>0.82510988054599277</v>
      </c>
      <c r="J27" s="22" t="e">
        <f>IF(B27&gt;=0," ",K27/K$9)</f>
        <v>#DIV/0!</v>
      </c>
      <c r="K27" s="22">
        <f>IF(B27&gt;=0," ",L27/L$9)</f>
        <v>1.5681697649168733</v>
      </c>
      <c r="L27" s="16">
        <f t="shared" si="7"/>
        <v>1.5681697649168733</v>
      </c>
      <c r="M27" s="16">
        <f t="shared" si="8"/>
        <v>1.0246784044439599</v>
      </c>
      <c r="N27" s="16">
        <f t="shared" si="15"/>
        <v>1.6068696926122814</v>
      </c>
      <c r="O27" s="16">
        <f t="shared" si="16"/>
        <v>0.37619999999999998</v>
      </c>
      <c r="P27" s="16">
        <f t="shared" si="9"/>
        <v>1.5304018881590837</v>
      </c>
      <c r="Q27" s="16">
        <f t="shared" si="10"/>
        <v>0.2832529878715751</v>
      </c>
      <c r="R27" s="16">
        <f t="shared" si="11"/>
        <v>0.88986550580469903</v>
      </c>
      <c r="S27" s="16">
        <f t="shared" si="12"/>
        <v>5.9007817885280457E-3</v>
      </c>
      <c r="T27" s="16">
        <f t="shared" si="13"/>
        <v>0.66</v>
      </c>
      <c r="U27" s="16"/>
      <c r="V27" s="16">
        <f t="shared" si="3"/>
        <v>0.88860153717599688</v>
      </c>
      <c r="W27" s="16">
        <f t="shared" ref="W27:AQ27" si="33">9.81/(2*PI())*$E$9^2*TANH(2*PI()*$H27/V27)</f>
        <v>6.2412982538218325</v>
      </c>
      <c r="X27" s="16">
        <f t="shared" si="33"/>
        <v>3.2360531973326641</v>
      </c>
      <c r="Y27" s="16">
        <f t="shared" si="33"/>
        <v>5.0143099928446366</v>
      </c>
      <c r="Z27" s="16">
        <f t="shared" si="33"/>
        <v>3.8303811839604993</v>
      </c>
      <c r="AA27" s="16">
        <f t="shared" si="33"/>
        <v>4.5772467174902953</v>
      </c>
      <c r="AB27" s="16">
        <f t="shared" si="33"/>
        <v>4.0850383836997972</v>
      </c>
      <c r="AC27" s="16">
        <f t="shared" si="33"/>
        <v>4.4014574840584908</v>
      </c>
      <c r="AD27" s="16">
        <f t="shared" si="33"/>
        <v>4.1944282546949143</v>
      </c>
      <c r="AE27" s="16">
        <f t="shared" si="33"/>
        <v>4.3284248758487616</v>
      </c>
      <c r="AF27" s="16">
        <f t="shared" si="33"/>
        <v>4.2410614596511511</v>
      </c>
      <c r="AG27" s="16">
        <f t="shared" si="33"/>
        <v>4.2977571449723655</v>
      </c>
      <c r="AH27" s="16">
        <f t="shared" si="33"/>
        <v>4.2608508024580614</v>
      </c>
      <c r="AI27" s="16">
        <f t="shared" si="33"/>
        <v>4.2848278357738332</v>
      </c>
      <c r="AJ27" s="16">
        <f t="shared" si="33"/>
        <v>4.2692304998611972</v>
      </c>
      <c r="AK27" s="16">
        <f t="shared" si="33"/>
        <v>4.2793682709732055</v>
      </c>
      <c r="AL27" s="16">
        <f t="shared" si="33"/>
        <v>4.2727754520022456</v>
      </c>
      <c r="AM27" s="16">
        <f t="shared" si="33"/>
        <v>4.2770613936288404</v>
      </c>
      <c r="AN27" s="16">
        <f t="shared" si="33"/>
        <v>4.274274494076292</v>
      </c>
      <c r="AO27" s="16">
        <f t="shared" si="33"/>
        <v>4.2760863824340349</v>
      </c>
      <c r="AP27" s="16">
        <f t="shared" si="33"/>
        <v>4.2749082779739016</v>
      </c>
      <c r="AQ27" s="16">
        <f t="shared" si="33"/>
        <v>4.2756742425873489</v>
      </c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1:54" customFormat="1">
      <c r="A28" s="23">
        <v>99.3</v>
      </c>
      <c r="B28" s="16">
        <v>-0.55000000000000004</v>
      </c>
      <c r="D28" s="14"/>
      <c r="E28" s="15"/>
      <c r="F28" s="15"/>
      <c r="H28" s="21">
        <f t="shared" si="5"/>
        <v>0.55000000000000004</v>
      </c>
      <c r="I28" s="21">
        <f t="shared" si="1"/>
        <v>0.83065135209513119</v>
      </c>
      <c r="J28" s="22" t="e">
        <f t="shared" ref="J28:J91" si="34">IF(B28&gt;=0," ",K28/K$9)</f>
        <v>#DIV/0!</v>
      </c>
      <c r="K28" s="22">
        <f t="shared" ref="K28:K91" si="35">IF(B28&gt;=0," ",L28/L$9)</f>
        <v>1.6212825227787269</v>
      </c>
      <c r="L28" s="16">
        <f t="shared" si="7"/>
        <v>1.6212825227787269</v>
      </c>
      <c r="M28" s="16">
        <f t="shared" si="8"/>
        <v>1.0181946319204846</v>
      </c>
      <c r="N28" s="16">
        <f t="shared" si="15"/>
        <v>1.6507811615198005</v>
      </c>
      <c r="O28" s="16">
        <f t="shared" si="16"/>
        <v>0.36300000000000004</v>
      </c>
      <c r="P28" s="16">
        <f t="shared" si="9"/>
        <v>1.5923110100479689</v>
      </c>
      <c r="Q28" s="16">
        <f t="shared" si="10"/>
        <v>0.25286695671434217</v>
      </c>
      <c r="R28" s="16">
        <f t="shared" si="11"/>
        <v>0.79440497354938555</v>
      </c>
      <c r="S28" s="16">
        <f t="shared" si="12"/>
        <v>6.0133164914841835E-3</v>
      </c>
      <c r="T28" s="16">
        <f t="shared" si="13"/>
        <v>0.66</v>
      </c>
      <c r="U28" s="16"/>
      <c r="V28" s="16">
        <f t="shared" si="3"/>
        <v>0.85782331201914508</v>
      </c>
      <c r="W28" s="16">
        <f t="shared" ref="W28:AQ28" si="36">9.81/(2*PI())*$E$9^2*TANH(2*PI()*$H28/V28)</f>
        <v>6.2412833860072574</v>
      </c>
      <c r="X28" s="16">
        <f t="shared" si="36"/>
        <v>3.1431203619644306</v>
      </c>
      <c r="Y28" s="16">
        <f t="shared" si="36"/>
        <v>4.9981085841831838</v>
      </c>
      <c r="Z28" s="16">
        <f t="shared" si="36"/>
        <v>3.7402010556962102</v>
      </c>
      <c r="AA28" s="16">
        <f t="shared" si="36"/>
        <v>4.545034837142329</v>
      </c>
      <c r="AB28" s="16">
        <f t="shared" si="36"/>
        <v>4.0049138278651988</v>
      </c>
      <c r="AC28" s="16">
        <f t="shared" si="36"/>
        <v>4.3575381637530031</v>
      </c>
      <c r="AD28" s="16">
        <f t="shared" si="36"/>
        <v>4.1226964785969269</v>
      </c>
      <c r="AE28" s="16">
        <f t="shared" si="36"/>
        <v>4.2771672595617813</v>
      </c>
      <c r="AF28" s="16">
        <f t="shared" si="36"/>
        <v>4.1746913523733467</v>
      </c>
      <c r="AG28" s="16">
        <f t="shared" si="36"/>
        <v>4.2423010350614314</v>
      </c>
      <c r="AH28" s="16">
        <f t="shared" si="36"/>
        <v>4.1975295111636317</v>
      </c>
      <c r="AI28" s="16">
        <f t="shared" si="36"/>
        <v>4.2271058658126641</v>
      </c>
      <c r="AJ28" s="16">
        <f t="shared" si="36"/>
        <v>4.2075360403156719</v>
      </c>
      <c r="AK28" s="16">
        <f t="shared" si="36"/>
        <v>4.2204711143065055</v>
      </c>
      <c r="AL28" s="16">
        <f t="shared" si="36"/>
        <v>4.2119154003352399</v>
      </c>
      <c r="AM28" s="16">
        <f t="shared" si="36"/>
        <v>4.217571826112291</v>
      </c>
      <c r="AN28" s="16">
        <f t="shared" si="36"/>
        <v>4.213831053074605</v>
      </c>
      <c r="AO28" s="16">
        <f t="shared" si="36"/>
        <v>4.2163044423641098</v>
      </c>
      <c r="AP28" s="16">
        <f t="shared" si="36"/>
        <v>4.2146688242289843</v>
      </c>
      <c r="AQ28" s="16">
        <f t="shared" si="36"/>
        <v>4.215750339875445</v>
      </c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4" customFormat="1">
      <c r="A29" s="23">
        <v>96.8</v>
      </c>
      <c r="B29" s="16">
        <v>-0.59</v>
      </c>
      <c r="D29" s="14"/>
      <c r="E29" s="15"/>
      <c r="F29" s="15"/>
      <c r="H29" s="21">
        <f t="shared" si="5"/>
        <v>0.59</v>
      </c>
      <c r="I29" s="21">
        <f t="shared" si="1"/>
        <v>0.81961852491409259</v>
      </c>
      <c r="J29" s="22" t="e">
        <f t="shared" si="34"/>
        <v>#DIV/0!</v>
      </c>
      <c r="K29" s="22">
        <f t="shared" si="35"/>
        <v>1.622060966841085</v>
      </c>
      <c r="L29" s="16">
        <f t="shared" si="7"/>
        <v>1.622060966841085</v>
      </c>
      <c r="M29" s="16">
        <f t="shared" si="8"/>
        <v>1.0108146837254923</v>
      </c>
      <c r="N29" s="16">
        <f t="shared" si="15"/>
        <v>1.6396030431809376</v>
      </c>
      <c r="O29" s="16">
        <f t="shared" si="16"/>
        <v>0.38940000000000002</v>
      </c>
      <c r="P29" s="16">
        <f t="shared" si="9"/>
        <v>1.6047065727842051</v>
      </c>
      <c r="Q29" s="16">
        <f t="shared" si="10"/>
        <v>0.23557828431354916</v>
      </c>
      <c r="R29" s="16">
        <f t="shared" si="11"/>
        <v>0.74009100734473365</v>
      </c>
      <c r="S29" s="16">
        <f t="shared" si="12"/>
        <v>6.0859336735256701E-3</v>
      </c>
      <c r="T29" s="16">
        <f t="shared" si="13"/>
        <v>0.66</v>
      </c>
      <c r="U29" s="16"/>
      <c r="V29" s="16">
        <f t="shared" si="3"/>
        <v>0.91933576896585223</v>
      </c>
      <c r="W29" s="16">
        <f t="shared" ref="W29:AQ29" si="37">9.81/(2*PI())*$E$9^2*TANH(2*PI()*$H29/V29)</f>
        <v>6.2413135908224557</v>
      </c>
      <c r="X29" s="16">
        <f t="shared" si="37"/>
        <v>3.3270667044420836</v>
      </c>
      <c r="Y29" s="16">
        <f t="shared" si="37"/>
        <v>5.0308438048360582</v>
      </c>
      <c r="Z29" s="16">
        <f t="shared" si="37"/>
        <v>3.9173301412767132</v>
      </c>
      <c r="AA29" s="16">
        <f t="shared" si="37"/>
        <v>4.6097125081159041</v>
      </c>
      <c r="AB29" s="16">
        <f t="shared" si="37"/>
        <v>4.1616533641444775</v>
      </c>
      <c r="AC29" s="16">
        <f t="shared" si="37"/>
        <v>4.4452009307522786</v>
      </c>
      <c r="AD29" s="16">
        <f t="shared" si="37"/>
        <v>4.2629493026636869</v>
      </c>
      <c r="AE29" s="16">
        <f t="shared" si="37"/>
        <v>4.3789940451759222</v>
      </c>
      <c r="AF29" s="16">
        <f t="shared" si="37"/>
        <v>4.3046430343710496</v>
      </c>
      <c r="AG29" s="16">
        <f t="shared" si="37"/>
        <v>4.3520951250155369</v>
      </c>
      <c r="AH29" s="16">
        <f t="shared" si="37"/>
        <v>4.3217337577600672</v>
      </c>
      <c r="AI29" s="16">
        <f t="shared" si="37"/>
        <v>4.3411288586305146</v>
      </c>
      <c r="AJ29" s="16">
        <f t="shared" si="37"/>
        <v>4.3287263442375234</v>
      </c>
      <c r="AK29" s="16">
        <f t="shared" si="37"/>
        <v>4.3366521380517469</v>
      </c>
      <c r="AL29" s="16">
        <f t="shared" si="37"/>
        <v>4.3315850530375481</v>
      </c>
      <c r="AM29" s="16">
        <f t="shared" si="37"/>
        <v>4.3348236522096872</v>
      </c>
      <c r="AN29" s="16">
        <f t="shared" si="37"/>
        <v>4.3327533645526461</v>
      </c>
      <c r="AO29" s="16">
        <f t="shared" si="37"/>
        <v>4.3340766593477245</v>
      </c>
      <c r="AP29" s="16">
        <f t="shared" si="37"/>
        <v>4.3332307711959404</v>
      </c>
      <c r="AQ29" s="16">
        <f t="shared" si="37"/>
        <v>4.3337714630611774</v>
      </c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1:54" customFormat="1">
      <c r="A30" s="23">
        <v>92.8</v>
      </c>
      <c r="B30" s="16">
        <v>-0.65500000000000003</v>
      </c>
      <c r="D30" s="14"/>
      <c r="E30" s="15"/>
      <c r="F30" s="15"/>
      <c r="H30" s="21">
        <f t="shared" si="5"/>
        <v>0.65500000000000003</v>
      </c>
      <c r="I30" s="21">
        <f t="shared" si="1"/>
        <v>0.80211598466297418</v>
      </c>
      <c r="J30" s="22" t="e">
        <f t="shared" si="34"/>
        <v>#DIV/0!</v>
      </c>
      <c r="K30" s="22">
        <f t="shared" si="35"/>
        <v>1.5973180291455191</v>
      </c>
      <c r="L30" s="16">
        <f t="shared" si="7"/>
        <v>1.5973180291455191</v>
      </c>
      <c r="M30" s="16">
        <f t="shared" si="8"/>
        <v>1.0125114274078244</v>
      </c>
      <c r="N30" s="16">
        <f t="shared" si="15"/>
        <v>1.6173027577143824</v>
      </c>
      <c r="O30" s="16">
        <f t="shared" si="16"/>
        <v>0.43230000000000002</v>
      </c>
      <c r="P30" s="16">
        <f t="shared" si="9"/>
        <v>1.5775802483877976</v>
      </c>
      <c r="Q30" s="16">
        <f t="shared" si="10"/>
        <v>0.23984459313264947</v>
      </c>
      <c r="R30" s="16">
        <f t="shared" si="11"/>
        <v>0.75349401178876452</v>
      </c>
      <c r="S30" s="16">
        <f t="shared" si="12"/>
        <v>6.0673525588949683E-3</v>
      </c>
      <c r="T30" s="16">
        <f t="shared" si="13"/>
        <v>0.66</v>
      </c>
      <c r="U30" s="16"/>
      <c r="V30" s="16">
        <f t="shared" si="3"/>
        <v>1.0189006637694944</v>
      </c>
      <c r="W30" s="16">
        <f t="shared" ref="W30:AQ30" si="38">9.81/(2*PI())*$E$9^2*TANH(2*PI()*$H30/V30)</f>
        <v>6.2413666000506769</v>
      </c>
      <c r="X30" s="16">
        <f t="shared" si="38"/>
        <v>3.6094765761203873</v>
      </c>
      <c r="Y30" s="16">
        <f t="shared" si="38"/>
        <v>5.0866093632544462</v>
      </c>
      <c r="Z30" s="16">
        <f t="shared" si="38"/>
        <v>4.1785887908377637</v>
      </c>
      <c r="AA30" s="16">
        <f t="shared" si="38"/>
        <v>4.71627201551519</v>
      </c>
      <c r="AB30" s="16">
        <f t="shared" si="38"/>
        <v>4.388529829216691</v>
      </c>
      <c r="AC30" s="16">
        <f t="shared" si="38"/>
        <v>4.5852661380446458</v>
      </c>
      <c r="AD30" s="16">
        <f t="shared" si="38"/>
        <v>4.4659759521990958</v>
      </c>
      <c r="AE30" s="16">
        <f t="shared" si="38"/>
        <v>4.5378895073802852</v>
      </c>
      <c r="AF30" s="16">
        <f t="shared" si="38"/>
        <v>4.4943802347015183</v>
      </c>
      <c r="AG30" s="16">
        <f t="shared" si="38"/>
        <v>4.5206480499430928</v>
      </c>
      <c r="AH30" s="16">
        <f t="shared" si="38"/>
        <v>4.504768672467077</v>
      </c>
      <c r="AI30" s="16">
        <f t="shared" si="38"/>
        <v>4.5143605226618018</v>
      </c>
      <c r="AJ30" s="16">
        <f t="shared" si="38"/>
        <v>4.5085638614706269</v>
      </c>
      <c r="AK30" s="16">
        <f t="shared" si="38"/>
        <v>4.5120659643645009</v>
      </c>
      <c r="AL30" s="16">
        <f t="shared" si="38"/>
        <v>4.5099497714889747</v>
      </c>
      <c r="AM30" s="16">
        <f t="shared" si="38"/>
        <v>4.511228375605894</v>
      </c>
      <c r="AN30" s="16">
        <f t="shared" si="38"/>
        <v>4.5104557938416345</v>
      </c>
      <c r="AO30" s="16">
        <f t="shared" si="38"/>
        <v>4.5109225995887172</v>
      </c>
      <c r="AP30" s="16">
        <f t="shared" si="38"/>
        <v>4.5106405418787521</v>
      </c>
      <c r="AQ30" s="16">
        <f t="shared" si="38"/>
        <v>4.5108109670311745</v>
      </c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1:54" customFormat="1">
      <c r="A31" s="23">
        <v>92.8</v>
      </c>
      <c r="B31" s="16">
        <v>-0.64</v>
      </c>
      <c r="D31" s="14"/>
      <c r="E31" s="15"/>
      <c r="F31" s="15"/>
      <c r="H31" s="21">
        <f t="shared" si="5"/>
        <v>0.64</v>
      </c>
      <c r="I31" s="21">
        <f t="shared" si="1"/>
        <v>0.80610827566895238</v>
      </c>
      <c r="J31" s="22" t="e">
        <f t="shared" si="34"/>
        <v>#DIV/0!</v>
      </c>
      <c r="K31" s="22">
        <f t="shared" si="35"/>
        <v>1.6266969732134717</v>
      </c>
      <c r="L31" s="16">
        <f t="shared" si="7"/>
        <v>1.6266969732134717</v>
      </c>
      <c r="M31" s="16">
        <f t="shared" si="8"/>
        <v>1</v>
      </c>
      <c r="N31" s="16">
        <f t="shared" si="15"/>
        <v>1.6266969732134717</v>
      </c>
      <c r="O31" s="16">
        <f t="shared" si="16"/>
        <v>0.42240000000000005</v>
      </c>
      <c r="P31" s="16">
        <f t="shared" si="9"/>
        <v>1.6266969732134717</v>
      </c>
      <c r="Q31" s="16">
        <f t="shared" si="10"/>
        <v>0.26937040787127409</v>
      </c>
      <c r="R31" s="16">
        <f t="shared" si="11"/>
        <v>0.84625209446288086</v>
      </c>
      <c r="S31" s="16">
        <f t="shared" si="12"/>
        <v>5.9500486425179376E-3</v>
      </c>
      <c r="T31" s="16">
        <f t="shared" si="13"/>
        <v>0.66</v>
      </c>
      <c r="U31" s="16"/>
      <c r="V31" s="16">
        <f t="shared" si="3"/>
        <v>0.99596934816285698</v>
      </c>
      <c r="W31" s="16">
        <f t="shared" ref="W31:AQ31" si="39">9.81/(2*PI())*$E$9^2*TANH(2*PI()*$H31/V31)</f>
        <v>6.2413539447641213</v>
      </c>
      <c r="X31" s="16">
        <f t="shared" si="39"/>
        <v>3.5461292077165627</v>
      </c>
      <c r="Y31" s="16">
        <f t="shared" si="39"/>
        <v>5.0734888229811963</v>
      </c>
      <c r="Z31" s="16">
        <f t="shared" si="39"/>
        <v>4.1210992520295706</v>
      </c>
      <c r="AA31" s="16">
        <f t="shared" si="39"/>
        <v>4.691600712384151</v>
      </c>
      <c r="AB31" s="16">
        <f t="shared" si="39"/>
        <v>4.3389926139206629</v>
      </c>
      <c r="AC31" s="16">
        <f t="shared" si="39"/>
        <v>4.553300619790865</v>
      </c>
      <c r="AD31" s="16">
        <f t="shared" si="39"/>
        <v>4.4215855774581714</v>
      </c>
      <c r="AE31" s="16">
        <f t="shared" si="39"/>
        <v>4.5020134071966798</v>
      </c>
      <c r="AF31" s="16">
        <f t="shared" si="39"/>
        <v>4.4527004017082117</v>
      </c>
      <c r="AG31" s="16">
        <f t="shared" si="39"/>
        <v>4.4828613168013618</v>
      </c>
      <c r="AH31" s="16">
        <f t="shared" si="39"/>
        <v>4.4643860181329709</v>
      </c>
      <c r="AI31" s="16">
        <f t="shared" si="39"/>
        <v>4.4756926904866514</v>
      </c>
      <c r="AJ31" s="16">
        <f t="shared" si="39"/>
        <v>4.4687691807737213</v>
      </c>
      <c r="AK31" s="16">
        <f t="shared" si="39"/>
        <v>4.4730072327472143</v>
      </c>
      <c r="AL31" s="16">
        <f t="shared" si="39"/>
        <v>4.4704124609703939</v>
      </c>
      <c r="AM31" s="16">
        <f t="shared" si="39"/>
        <v>4.4720009171031982</v>
      </c>
      <c r="AN31" s="16">
        <f t="shared" si="39"/>
        <v>4.4710284249703038</v>
      </c>
      <c r="AO31" s="16">
        <f t="shared" si="39"/>
        <v>4.4716237795027087</v>
      </c>
      <c r="AP31" s="16">
        <f t="shared" si="39"/>
        <v>4.4712592956636295</v>
      </c>
      <c r="AQ31" s="16">
        <f t="shared" si="39"/>
        <v>4.4714824333389487</v>
      </c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1:54" customFormat="1">
      <c r="A32" s="23">
        <v>89</v>
      </c>
      <c r="B32" s="16">
        <v>-0.72899999999999965</v>
      </c>
      <c r="D32" s="14"/>
      <c r="E32" s="15"/>
      <c r="F32" s="15"/>
      <c r="H32" s="21">
        <f t="shared" si="5"/>
        <v>0.72899999999999965</v>
      </c>
      <c r="I32" s="21">
        <f t="shared" si="1"/>
        <v>0.78283440730166409</v>
      </c>
      <c r="J32" s="22" t="e">
        <f t="shared" si="34"/>
        <v>#DIV/0!</v>
      </c>
      <c r="K32" s="22">
        <f t="shared" si="35"/>
        <v>1.574598270169451</v>
      </c>
      <c r="L32" s="16">
        <f t="shared" si="7"/>
        <v>1.574598270169451</v>
      </c>
      <c r="M32" s="16">
        <f t="shared" si="8"/>
        <v>1.0084866727140986</v>
      </c>
      <c r="N32" s="16">
        <f t="shared" si="15"/>
        <v>1.587961370344565</v>
      </c>
      <c r="O32" s="16">
        <f t="shared" si="16"/>
        <v>0.48113999999999979</v>
      </c>
      <c r="P32" s="16">
        <f t="shared" si="9"/>
        <v>1.5613476238925394</v>
      </c>
      <c r="Q32" s="16">
        <f t="shared" si="10"/>
        <v>0.24661232673924158</v>
      </c>
      <c r="R32" s="16">
        <f t="shared" si="11"/>
        <v>0.77475547396868705</v>
      </c>
      <c r="S32" s="16">
        <f t="shared" si="12"/>
        <v>6.0387840077531655E-3</v>
      </c>
      <c r="T32" s="16">
        <f t="shared" si="13"/>
        <v>0.66</v>
      </c>
      <c r="U32" s="16"/>
      <c r="V32" s="16">
        <f t="shared" si="3"/>
        <v>1.1316044754679337</v>
      </c>
      <c r="W32" s="16">
        <f t="shared" ref="W32:AQ32" si="40">9.81/(2*PI())*$E$9^2*TANH(2*PI()*$H32/V32)</f>
        <v>6.241432611991268</v>
      </c>
      <c r="X32" s="16">
        <f t="shared" si="40"/>
        <v>3.9059689208487423</v>
      </c>
      <c r="Y32" s="16">
        <f t="shared" si="40"/>
        <v>5.1531263396738085</v>
      </c>
      <c r="Z32" s="16">
        <f t="shared" si="40"/>
        <v>4.4393257326960072</v>
      </c>
      <c r="AA32" s="16">
        <f t="shared" si="40"/>
        <v>4.8377150759155585</v>
      </c>
      <c r="AB32" s="16">
        <f t="shared" si="40"/>
        <v>4.6111085927680966</v>
      </c>
      <c r="AC32" s="16">
        <f t="shared" si="40"/>
        <v>4.7388063334448409</v>
      </c>
      <c r="AD32" s="16">
        <f t="shared" si="40"/>
        <v>4.66643184025913</v>
      </c>
      <c r="AE32" s="16">
        <f t="shared" si="40"/>
        <v>4.7073240613968226</v>
      </c>
      <c r="AF32" s="16">
        <f t="shared" si="40"/>
        <v>4.6841779523351281</v>
      </c>
      <c r="AG32" s="16">
        <f t="shared" si="40"/>
        <v>4.6972661321541267</v>
      </c>
      <c r="AH32" s="16">
        <f t="shared" si="40"/>
        <v>4.6898610613863712</v>
      </c>
      <c r="AI32" s="16">
        <f t="shared" si="40"/>
        <v>4.6940493745408105</v>
      </c>
      <c r="AJ32" s="16">
        <f t="shared" si="40"/>
        <v>4.6916800284811488</v>
      </c>
      <c r="AK32" s="16">
        <f t="shared" si="40"/>
        <v>4.6930202389034337</v>
      </c>
      <c r="AL32" s="16">
        <f t="shared" si="40"/>
        <v>4.6922621103031625</v>
      </c>
      <c r="AM32" s="16">
        <f t="shared" si="40"/>
        <v>4.6926909533881878</v>
      </c>
      <c r="AN32" s="16">
        <f t="shared" si="40"/>
        <v>4.6924483694361765</v>
      </c>
      <c r="AO32" s="16">
        <f t="shared" si="40"/>
        <v>4.6925855906091503</v>
      </c>
      <c r="AP32" s="16">
        <f t="shared" si="40"/>
        <v>4.6925079689739935</v>
      </c>
      <c r="AQ32" s="16">
        <f t="shared" si="40"/>
        <v>4.6925518769053651</v>
      </c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1:54" customFormat="1">
      <c r="A33" s="23">
        <v>82</v>
      </c>
      <c r="B33" s="16">
        <v>-0.69899999999999984</v>
      </c>
      <c r="D33" s="14"/>
      <c r="E33" s="15"/>
      <c r="F33" s="15"/>
      <c r="H33" s="21">
        <f t="shared" si="5"/>
        <v>0.69899999999999984</v>
      </c>
      <c r="I33" s="21">
        <f t="shared" si="1"/>
        <v>0.79056796784897176</v>
      </c>
      <c r="J33" s="22" t="e">
        <f t="shared" si="34"/>
        <v>#DIV/0!</v>
      </c>
      <c r="K33" s="22">
        <f t="shared" si="35"/>
        <v>1.6047320313674707</v>
      </c>
      <c r="L33" s="16">
        <f t="shared" si="7"/>
        <v>1.6047320313674707</v>
      </c>
      <c r="M33" s="16">
        <f t="shared" si="8"/>
        <v>1.0236171339209765</v>
      </c>
      <c r="N33" s="16">
        <f t="shared" si="15"/>
        <v>1.6426312026595569</v>
      </c>
      <c r="O33" s="16">
        <f t="shared" si="16"/>
        <v>0.46133999999999992</v>
      </c>
      <c r="P33" s="16">
        <f t="shared" si="9"/>
        <v>1.5677072786194259</v>
      </c>
      <c r="Q33" s="16">
        <f t="shared" si="10"/>
        <v>0.28687157071262631</v>
      </c>
      <c r="R33" s="16">
        <f t="shared" si="11"/>
        <v>0.90123361907455168</v>
      </c>
      <c r="S33" s="16">
        <f t="shared" si="12"/>
        <v>5.8884771133743572E-3</v>
      </c>
      <c r="T33" s="16">
        <f t="shared" si="13"/>
        <v>0.66</v>
      </c>
      <c r="U33" s="16"/>
      <c r="V33" s="16">
        <f t="shared" si="3"/>
        <v>1.0860010081088805</v>
      </c>
      <c r="W33" s="16">
        <f t="shared" ref="W33:AQ33" si="41">9.81/(2*PI())*$E$9^2*TANH(2*PI()*$H33/V33)</f>
        <v>6.2414051444197183</v>
      </c>
      <c r="X33" s="16">
        <f t="shared" si="41"/>
        <v>3.788973808956023</v>
      </c>
      <c r="Y33" s="16">
        <f t="shared" si="41"/>
        <v>5.1258370425122131</v>
      </c>
      <c r="Z33" s="16">
        <f t="shared" si="41"/>
        <v>4.3380581908344285</v>
      </c>
      <c r="AA33" s="16">
        <f t="shared" si="41"/>
        <v>4.7886127796656535</v>
      </c>
      <c r="AB33" s="16">
        <f t="shared" si="41"/>
        <v>4.5250094842920072</v>
      </c>
      <c r="AC33" s="16">
        <f t="shared" si="41"/>
        <v>4.6774670785015342</v>
      </c>
      <c r="AD33" s="16">
        <f t="shared" si="41"/>
        <v>4.5886480875112206</v>
      </c>
      <c r="AE33" s="16">
        <f t="shared" si="41"/>
        <v>4.6401839879355355</v>
      </c>
      <c r="AF33" s="16">
        <f t="shared" si="41"/>
        <v>4.6102088856667383</v>
      </c>
      <c r="AG33" s="16">
        <f t="shared" si="41"/>
        <v>4.6276194414027252</v>
      </c>
      <c r="AH33" s="16">
        <f t="shared" si="41"/>
        <v>4.6174986188701519</v>
      </c>
      <c r="AI33" s="16">
        <f t="shared" si="41"/>
        <v>4.6233791420181314</v>
      </c>
      <c r="AJ33" s="16">
        <f t="shared" si="41"/>
        <v>4.6199614378659737</v>
      </c>
      <c r="AK33" s="16">
        <f t="shared" si="41"/>
        <v>4.6219474610581379</v>
      </c>
      <c r="AL33" s="16">
        <f t="shared" si="41"/>
        <v>4.6207932795729088</v>
      </c>
      <c r="AM33" s="16">
        <f t="shared" si="41"/>
        <v>4.6214639987066981</v>
      </c>
      <c r="AN33" s="16">
        <f t="shared" si="41"/>
        <v>4.6210742176107402</v>
      </c>
      <c r="AO33" s="16">
        <f t="shared" si="41"/>
        <v>4.6213007305494598</v>
      </c>
      <c r="AP33" s="16">
        <f t="shared" si="41"/>
        <v>4.6211690960246212</v>
      </c>
      <c r="AQ33" s="16">
        <f t="shared" si="41"/>
        <v>4.6212455929464236</v>
      </c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1:54" customFormat="1">
      <c r="A34" s="23">
        <v>78</v>
      </c>
      <c r="B34" s="16">
        <v>-0.629</v>
      </c>
      <c r="D34" s="14"/>
      <c r="E34" s="15"/>
      <c r="F34" s="15"/>
      <c r="H34" s="21">
        <f t="shared" si="5"/>
        <v>0.629</v>
      </c>
      <c r="I34" s="21">
        <f t="shared" si="1"/>
        <v>0.80905380581482111</v>
      </c>
      <c r="J34" s="22" t="e">
        <f t="shared" si="34"/>
        <v>#DIV/0!</v>
      </c>
      <c r="K34" s="22">
        <f t="shared" si="35"/>
        <v>1.6865402132231579</v>
      </c>
      <c r="L34" s="16">
        <f t="shared" si="7"/>
        <v>1.6865402132231579</v>
      </c>
      <c r="M34" s="16">
        <f t="shared" si="8"/>
        <v>1.0204359491673547</v>
      </c>
      <c r="N34" s="16">
        <f t="shared" si="15"/>
        <v>1.721006263289286</v>
      </c>
      <c r="O34" s="16">
        <f t="shared" si="16"/>
        <v>0.41514000000000001</v>
      </c>
      <c r="P34" s="16">
        <f t="shared" si="9"/>
        <v>1.6527644038798559</v>
      </c>
      <c r="Q34" s="16">
        <f t="shared" si="10"/>
        <v>0.28996823421530576</v>
      </c>
      <c r="R34" s="16">
        <f t="shared" si="11"/>
        <v>0.91096207438520915</v>
      </c>
      <c r="S34" s="16">
        <f t="shared" si="12"/>
        <v>5.8781135163703882E-3</v>
      </c>
      <c r="T34" s="16">
        <f t="shared" si="13"/>
        <v>0.66</v>
      </c>
      <c r="U34" s="16"/>
      <c r="V34" s="16">
        <f t="shared" si="3"/>
        <v>0.979135481236317</v>
      </c>
      <c r="W34" s="16">
        <f t="shared" ref="W34:AQ34" si="42">9.81/(2*PI())*$E$9^2*TANH(2*PI()*$H34/V34)</f>
        <v>6.2413448237527032</v>
      </c>
      <c r="X34" s="16">
        <f t="shared" si="42"/>
        <v>3.4989779001889088</v>
      </c>
      <c r="Y34" s="16">
        <f t="shared" si="42"/>
        <v>5.0639578967823455</v>
      </c>
      <c r="Z34" s="16">
        <f t="shared" si="42"/>
        <v>4.0778926217237661</v>
      </c>
      <c r="AA34" s="16">
        <f t="shared" si="42"/>
        <v>4.6735265540733177</v>
      </c>
      <c r="AB34" s="16">
        <f t="shared" si="42"/>
        <v>4.3016283885957192</v>
      </c>
      <c r="AC34" s="16">
        <f t="shared" si="42"/>
        <v>4.5297088312296125</v>
      </c>
      <c r="AD34" s="16">
        <f t="shared" si="42"/>
        <v>4.3881353827360403</v>
      </c>
      <c r="AE34" s="16">
        <f t="shared" si="42"/>
        <v>4.4753927473994306</v>
      </c>
      <c r="AF34" s="16">
        <f t="shared" si="42"/>
        <v>4.4213692195431786</v>
      </c>
      <c r="AG34" s="16">
        <f t="shared" si="42"/>
        <v>4.4547253112683745</v>
      </c>
      <c r="AH34" s="16">
        <f t="shared" si="42"/>
        <v>4.4340947552900341</v>
      </c>
      <c r="AI34" s="16">
        <f t="shared" si="42"/>
        <v>4.4468412421406818</v>
      </c>
      <c r="AJ34" s="16">
        <f t="shared" si="42"/>
        <v>4.4389607499569541</v>
      </c>
      <c r="AK34" s="16">
        <f t="shared" si="42"/>
        <v>4.4438308915647022</v>
      </c>
      <c r="AL34" s="16">
        <f t="shared" si="42"/>
        <v>4.4408203963573269</v>
      </c>
      <c r="AM34" s="16">
        <f t="shared" si="42"/>
        <v>4.4426810585985343</v>
      </c>
      <c r="AN34" s="16">
        <f t="shared" si="42"/>
        <v>4.4415309511076861</v>
      </c>
      <c r="AO34" s="16">
        <f t="shared" si="42"/>
        <v>4.4422418106756076</v>
      </c>
      <c r="AP34" s="16">
        <f t="shared" si="42"/>
        <v>4.441802425941483</v>
      </c>
      <c r="AQ34" s="16">
        <f t="shared" si="42"/>
        <v>4.4420740050566074</v>
      </c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</row>
    <row r="35" spans="1:54" customFormat="1">
      <c r="A35" s="23">
        <v>76</v>
      </c>
      <c r="B35" s="16">
        <v>-0.48899999999999988</v>
      </c>
      <c r="D35" s="14"/>
      <c r="E35" s="15"/>
      <c r="F35" s="15"/>
      <c r="H35" s="21">
        <f t="shared" si="5"/>
        <v>0.48899999999999988</v>
      </c>
      <c r="I35" s="21">
        <f t="shared" si="1"/>
        <v>0.84786867500822338</v>
      </c>
      <c r="J35" s="22" t="e">
        <f t="shared" si="34"/>
        <v>#DIV/0!</v>
      </c>
      <c r="K35" s="22">
        <f t="shared" si="35"/>
        <v>1.8328119062802504</v>
      </c>
      <c r="L35" s="16">
        <f t="shared" si="7"/>
        <v>1.8328119062802504</v>
      </c>
      <c r="M35" s="16">
        <f t="shared" si="8"/>
        <v>1.0245271308834467</v>
      </c>
      <c r="N35" s="16">
        <f t="shared" si="15"/>
        <v>1.8777655237903255</v>
      </c>
      <c r="O35" s="16">
        <f t="shared" si="16"/>
        <v>0.32273999999999992</v>
      </c>
      <c r="P35" s="16">
        <f t="shared" si="9"/>
        <v>1.7889344762396113</v>
      </c>
      <c r="Q35" s="16">
        <f t="shared" si="10"/>
        <v>0.29593394714109617</v>
      </c>
      <c r="R35" s="16">
        <f t="shared" si="11"/>
        <v>0.92970391428629795</v>
      </c>
      <c r="S35" s="16">
        <f t="shared" si="12"/>
        <v>5.8585657407549908E-3</v>
      </c>
      <c r="T35" s="16">
        <f t="shared" si="13"/>
        <v>0.66</v>
      </c>
      <c r="U35" s="16"/>
      <c r="V35" s="16">
        <f t="shared" si="3"/>
        <v>0.76369327670666176</v>
      </c>
      <c r="W35" s="16">
        <f t="shared" ref="W35:AQ35" si="43">9.81/(2*PI())*$E$9^2*TANH(2*PI()*$H35/V35)</f>
        <v>6.2412409989559423</v>
      </c>
      <c r="X35" s="16">
        <f t="shared" si="43"/>
        <v>2.8480116424279802</v>
      </c>
      <c r="Y35" s="16">
        <f t="shared" si="43"/>
        <v>4.95097166291385</v>
      </c>
      <c r="Z35" s="16">
        <f t="shared" si="43"/>
        <v>3.4444511750245188</v>
      </c>
      <c r="AA35" s="16">
        <f t="shared" si="43"/>
        <v>4.4490093375893158</v>
      </c>
      <c r="AB35" s="16">
        <f t="shared" si="43"/>
        <v>3.7369400369444823</v>
      </c>
      <c r="AC35" s="16">
        <f t="shared" si="43"/>
        <v>4.2234091470545509</v>
      </c>
      <c r="AD35" s="16">
        <f t="shared" si="43"/>
        <v>3.8815781305665937</v>
      </c>
      <c r="AE35" s="16">
        <f t="shared" si="43"/>
        <v>4.1174137362258527</v>
      </c>
      <c r="AF35" s="16">
        <f t="shared" si="43"/>
        <v>3.9525230391182546</v>
      </c>
      <c r="AG35" s="16">
        <f t="shared" si="43"/>
        <v>4.0667796516567165</v>
      </c>
      <c r="AH35" s="16">
        <f t="shared" si="43"/>
        <v>3.9871013790111025</v>
      </c>
      <c r="AI35" s="16">
        <f t="shared" si="43"/>
        <v>4.0424234498123557</v>
      </c>
      <c r="AJ35" s="16">
        <f t="shared" si="43"/>
        <v>4.0038940219297157</v>
      </c>
      <c r="AK35" s="16">
        <f t="shared" si="43"/>
        <v>4.0306711774614703</v>
      </c>
      <c r="AL35" s="16">
        <f t="shared" si="43"/>
        <v>4.0120339586473568</v>
      </c>
      <c r="AM35" s="16">
        <f t="shared" si="43"/>
        <v>4.0249923427874936</v>
      </c>
      <c r="AN35" s="16">
        <f t="shared" si="43"/>
        <v>4.0159759622220452</v>
      </c>
      <c r="AO35" s="16">
        <f t="shared" si="43"/>
        <v>4.0222463906786592</v>
      </c>
      <c r="AP35" s="16">
        <f t="shared" si="43"/>
        <v>4.0178841170244679</v>
      </c>
      <c r="AQ35" s="16">
        <f t="shared" si="43"/>
        <v>4.0209181748411948</v>
      </c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</row>
    <row r="36" spans="1:54" customFormat="1">
      <c r="A36" s="23">
        <v>73</v>
      </c>
      <c r="B36" s="16">
        <v>-0.35899999999999999</v>
      </c>
      <c r="D36" s="14"/>
      <c r="E36" s="15"/>
      <c r="F36" s="15"/>
      <c r="H36" s="21">
        <f t="shared" si="5"/>
        <v>0.35899999999999999</v>
      </c>
      <c r="I36" s="21">
        <f t="shared" si="1"/>
        <v>0.88638609744412933</v>
      </c>
      <c r="J36" s="22" t="e">
        <f t="shared" si="34"/>
        <v>#DIV/0!</v>
      </c>
      <c r="K36" s="22">
        <f t="shared" si="35"/>
        <v>2.0285931921642608</v>
      </c>
      <c r="L36" s="16">
        <f t="shared" si="7"/>
        <v>2.0285931921642608</v>
      </c>
      <c r="M36" s="16">
        <f t="shared" si="8"/>
        <v>1.0911138710817541</v>
      </c>
      <c r="N36" s="16">
        <f t="shared" si="15"/>
        <v>2.2134261707524394</v>
      </c>
      <c r="O36" s="16">
        <f t="shared" si="16"/>
        <v>0.23694000000000001</v>
      </c>
      <c r="P36" s="16">
        <f t="shared" si="9"/>
        <v>1.8591947604451855</v>
      </c>
      <c r="Q36" s="16">
        <f t="shared" si="10"/>
        <v>0.26850983995095307</v>
      </c>
      <c r="R36" s="16">
        <f t="shared" si="11"/>
        <v>0.84354854060648532</v>
      </c>
      <c r="S36" s="16">
        <f t="shared" si="12"/>
        <v>5.9532160498601636E-3</v>
      </c>
      <c r="T36" s="16">
        <f t="shared" si="13"/>
        <v>0.66</v>
      </c>
      <c r="U36" s="16"/>
      <c r="V36" s="16">
        <f t="shared" si="3"/>
        <v>0.56196228075888144</v>
      </c>
      <c r="W36" s="16">
        <f t="shared" ref="W36:AQ36" si="44">9.81/(2*PI())*$E$9^2*TANH(2*PI()*$H36/V36)</f>
        <v>6.2411661324311334</v>
      </c>
      <c r="X36" s="16">
        <f t="shared" si="44"/>
        <v>2.1637355390948256</v>
      </c>
      <c r="Y36" s="16">
        <f t="shared" si="44"/>
        <v>4.8642161830172244</v>
      </c>
      <c r="Z36" s="16">
        <f t="shared" si="44"/>
        <v>2.7049141866558153</v>
      </c>
      <c r="AA36" s="16">
        <f t="shared" si="44"/>
        <v>4.2628233968244302</v>
      </c>
      <c r="AB36" s="16">
        <f t="shared" si="44"/>
        <v>3.0272512826813758</v>
      </c>
      <c r="AC36" s="16">
        <f t="shared" si="44"/>
        <v>3.9484168122395467</v>
      </c>
      <c r="AD36" s="16">
        <f t="shared" si="44"/>
        <v>3.2244231356144324</v>
      </c>
      <c r="AE36" s="16">
        <f t="shared" si="44"/>
        <v>3.7726600014309342</v>
      </c>
      <c r="AF36" s="16">
        <f t="shared" si="44"/>
        <v>3.3446488760589994</v>
      </c>
      <c r="AG36" s="16">
        <f t="shared" si="44"/>
        <v>3.6714084022337512</v>
      </c>
      <c r="AH36" s="16">
        <f t="shared" si="44"/>
        <v>3.4174418517860632</v>
      </c>
      <c r="AI36" s="16">
        <f t="shared" si="44"/>
        <v>3.6122030373721987</v>
      </c>
      <c r="AJ36" s="16">
        <f t="shared" si="44"/>
        <v>3.4612572047247152</v>
      </c>
      <c r="AK36" s="16">
        <f t="shared" si="44"/>
        <v>3.5773105876624318</v>
      </c>
      <c r="AL36" s="16">
        <f t="shared" si="44"/>
        <v>3.4875228452656208</v>
      </c>
      <c r="AM36" s="16">
        <f t="shared" si="44"/>
        <v>3.5566577353833004</v>
      </c>
      <c r="AN36" s="16">
        <f t="shared" si="44"/>
        <v>3.5032265940333636</v>
      </c>
      <c r="AO36" s="16">
        <f t="shared" si="44"/>
        <v>3.5444033035048643</v>
      </c>
      <c r="AP36" s="16">
        <f t="shared" si="44"/>
        <v>3.5126001524874977</v>
      </c>
      <c r="AQ36" s="16">
        <f t="shared" si="44"/>
        <v>3.5371217975971363</v>
      </c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</row>
    <row r="37" spans="1:54" customFormat="1">
      <c r="A37" s="23">
        <v>69</v>
      </c>
      <c r="B37" s="16">
        <v>-0.22899999999999965</v>
      </c>
      <c r="D37" s="14"/>
      <c r="E37" s="15"/>
      <c r="F37" s="15"/>
      <c r="H37" s="21">
        <f t="shared" si="5"/>
        <v>0.22899999999999965</v>
      </c>
      <c r="I37" s="21">
        <f t="shared" si="1"/>
        <v>0.92912864494549008</v>
      </c>
      <c r="J37" s="22" t="e">
        <f t="shared" si="34"/>
        <v>#DIV/0!</v>
      </c>
      <c r="K37" s="22">
        <f t="shared" si="35"/>
        <v>2.4767363727612342</v>
      </c>
      <c r="L37" s="16">
        <f t="shared" si="7"/>
        <v>2.4767363727612342</v>
      </c>
      <c r="M37" s="16">
        <f t="shared" si="8"/>
        <v>1.7521442658168496</v>
      </c>
      <c r="N37" s="16">
        <f t="shared" si="15"/>
        <v>4.3395994334736194</v>
      </c>
      <c r="O37" s="16">
        <f t="shared" si="16"/>
        <v>0.15113999999999977</v>
      </c>
      <c r="P37" s="16">
        <f t="shared" si="9"/>
        <v>1.4135459168977618</v>
      </c>
      <c r="Q37" s="16">
        <f t="shared" si="10"/>
        <v>0.24681711878694917</v>
      </c>
      <c r="R37" s="16">
        <f t="shared" si="11"/>
        <v>0.77539884716127883</v>
      </c>
      <c r="S37" s="16">
        <f t="shared" si="12"/>
        <v>6.0379362345913861E-3</v>
      </c>
      <c r="T37" s="16">
        <f t="shared" si="13"/>
        <v>0.66</v>
      </c>
      <c r="U37" s="16"/>
      <c r="V37" s="16">
        <f t="shared" si="3"/>
        <v>0.35904205000380462</v>
      </c>
      <c r="W37" s="16">
        <f t="shared" ref="W37:AQ37" si="45">9.81/(2*PI())*$E$9^2*TANH(2*PI()*$H37/V37)</f>
        <v>6.2411133575390254</v>
      </c>
      <c r="X37" s="16">
        <f t="shared" si="45"/>
        <v>1.4148230323225885</v>
      </c>
      <c r="Y37" s="16">
        <f t="shared" si="45"/>
        <v>4.8003062351722887</v>
      </c>
      <c r="Z37" s="16">
        <f t="shared" si="45"/>
        <v>1.8178378139072056</v>
      </c>
      <c r="AA37" s="16">
        <f t="shared" si="45"/>
        <v>4.1172838911326535</v>
      </c>
      <c r="AB37" s="16">
        <f t="shared" si="45"/>
        <v>2.0977861044042956</v>
      </c>
      <c r="AC37" s="16">
        <f t="shared" si="45"/>
        <v>3.7180089563002476</v>
      </c>
      <c r="AD37" s="16">
        <f t="shared" si="45"/>
        <v>2.303034794210908</v>
      </c>
      <c r="AE37" s="16">
        <f t="shared" si="45"/>
        <v>3.4625805504106073</v>
      </c>
      <c r="AF37" s="16">
        <f t="shared" si="45"/>
        <v>2.4554323223524466</v>
      </c>
      <c r="AG37" s="16">
        <f t="shared" si="45"/>
        <v>3.2912583023238828</v>
      </c>
      <c r="AH37" s="16">
        <f t="shared" si="45"/>
        <v>2.5686575334138899</v>
      </c>
      <c r="AI37" s="16">
        <f t="shared" si="45"/>
        <v>3.1731646807015088</v>
      </c>
      <c r="AJ37" s="16">
        <f t="shared" si="45"/>
        <v>2.6525099883798053</v>
      </c>
      <c r="AK37" s="16">
        <f t="shared" si="45"/>
        <v>3.0903881309139671</v>
      </c>
      <c r="AL37" s="16">
        <f t="shared" si="45"/>
        <v>2.714356737306848</v>
      </c>
      <c r="AM37" s="16">
        <f t="shared" si="45"/>
        <v>3.0317441109385221</v>
      </c>
      <c r="AN37" s="16">
        <f t="shared" si="45"/>
        <v>2.7597977367511488</v>
      </c>
      <c r="AO37" s="16">
        <f t="shared" si="45"/>
        <v>2.9899045200877512</v>
      </c>
      <c r="AP37" s="16">
        <f t="shared" si="45"/>
        <v>2.7930765734583649</v>
      </c>
      <c r="AQ37" s="16">
        <f t="shared" si="45"/>
        <v>2.9599127852429761</v>
      </c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</row>
    <row r="38" spans="1:54" customFormat="1">
      <c r="A38" s="23">
        <v>66.5</v>
      </c>
      <c r="B38" s="16">
        <v>-0.24899999999999967</v>
      </c>
      <c r="H38" s="21">
        <f t="shared" si="5"/>
        <v>0.24899999999999967</v>
      </c>
      <c r="I38" s="21">
        <f t="shared" si="1"/>
        <v>0.92211275289648376</v>
      </c>
      <c r="J38" s="22" t="e">
        <f t="shared" si="34"/>
        <v>#DIV/0!</v>
      </c>
      <c r="K38" s="22">
        <f t="shared" si="35"/>
        <v>4.2497039606410931</v>
      </c>
      <c r="L38" s="16">
        <f t="shared" si="7"/>
        <v>4.2497039606410931</v>
      </c>
      <c r="M38" s="16">
        <f t="shared" si="8"/>
        <v>1.43723609322933</v>
      </c>
      <c r="N38" s="16">
        <f t="shared" si="15"/>
        <v>6.1078279177730153</v>
      </c>
      <c r="O38" s="16">
        <f t="shared" si="16"/>
        <v>0.16433999999999979</v>
      </c>
      <c r="P38" s="16">
        <f t="shared" si="9"/>
        <v>2.9568586404565034</v>
      </c>
      <c r="Q38" s="16">
        <f t="shared" si="10"/>
        <v>0.15098520037207266</v>
      </c>
      <c r="R38" s="16">
        <f t="shared" si="11"/>
        <v>0.47433399628968642</v>
      </c>
      <c r="S38" s="16">
        <f t="shared" si="12"/>
        <v>6.5882950574951945E-3</v>
      </c>
      <c r="T38" s="16">
        <f t="shared" si="13"/>
        <v>0.66</v>
      </c>
      <c r="U38" s="16"/>
      <c r="V38" s="16">
        <f t="shared" si="3"/>
        <v>0.39032099206444171</v>
      </c>
      <c r="W38" s="16">
        <f t="shared" ref="W38:AQ38" si="46">9.81/(2*PI())*$E$9^2*TANH(2*PI()*$H38/V38)</f>
        <v>6.2411199969317428</v>
      </c>
      <c r="X38" s="16">
        <f t="shared" si="46"/>
        <v>1.5335570005141332</v>
      </c>
      <c r="Y38" s="16">
        <f t="shared" si="46"/>
        <v>4.8084739245251571</v>
      </c>
      <c r="Z38" s="16">
        <f t="shared" si="46"/>
        <v>1.9631952384510121</v>
      </c>
      <c r="AA38" s="16">
        <f t="shared" si="46"/>
        <v>4.1362997713005507</v>
      </c>
      <c r="AB38" s="16">
        <f t="shared" si="46"/>
        <v>2.2556423239008256</v>
      </c>
      <c r="AC38" s="16">
        <f t="shared" si="46"/>
        <v>3.7489527236970641</v>
      </c>
      <c r="AD38" s="16">
        <f t="shared" si="46"/>
        <v>2.4648108574449545</v>
      </c>
      <c r="AE38" s="16">
        <f t="shared" si="46"/>
        <v>3.5054980860056375</v>
      </c>
      <c r="AF38" s="16">
        <f t="shared" si="46"/>
        <v>2.6158503471935806</v>
      </c>
      <c r="AG38" s="16">
        <f t="shared" si="46"/>
        <v>3.3455053752504611</v>
      </c>
      <c r="AH38" s="16">
        <f t="shared" si="46"/>
        <v>2.724770671601807</v>
      </c>
      <c r="AI38" s="16">
        <f t="shared" si="46"/>
        <v>3.2376799873714797</v>
      </c>
      <c r="AJ38" s="16">
        <f t="shared" si="46"/>
        <v>2.8029826160596043</v>
      </c>
      <c r="AK38" s="16">
        <f t="shared" si="46"/>
        <v>3.1639075737758788</v>
      </c>
      <c r="AL38" s="16">
        <f t="shared" si="46"/>
        <v>2.8588893386895244</v>
      </c>
      <c r="AM38" s="16">
        <f t="shared" si="46"/>
        <v>3.1129561845428273</v>
      </c>
      <c r="AN38" s="16">
        <f t="shared" si="46"/>
        <v>2.8986949346407633</v>
      </c>
      <c r="AO38" s="16">
        <f t="shared" si="46"/>
        <v>3.0775524363086015</v>
      </c>
      <c r="AP38" s="16">
        <f t="shared" si="46"/>
        <v>2.9269477648373141</v>
      </c>
      <c r="AQ38" s="16">
        <f t="shared" si="46"/>
        <v>3.0528536634142327</v>
      </c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4" customFormat="1">
      <c r="A39" s="23">
        <v>64</v>
      </c>
      <c r="B39" s="16">
        <v>-0.30899999999999972</v>
      </c>
      <c r="H39" s="21">
        <f t="shared" si="5"/>
        <v>0.30899999999999972</v>
      </c>
      <c r="I39" s="21">
        <f t="shared" si="1"/>
        <v>0.90212293510787955</v>
      </c>
      <c r="J39" s="22" t="e">
        <f t="shared" si="34"/>
        <v>#DIV/0!</v>
      </c>
      <c r="K39" s="22">
        <f t="shared" si="35"/>
        <v>5.786913751234855</v>
      </c>
      <c r="L39" s="16">
        <f t="shared" si="7"/>
        <v>5.786913751234855</v>
      </c>
      <c r="M39" s="16">
        <f t="shared" si="8"/>
        <v>1.2170752987377449</v>
      </c>
      <c r="N39" s="16">
        <f t="shared" si="15"/>
        <v>7.0431097825537252</v>
      </c>
      <c r="O39" s="16">
        <f t="shared" si="16"/>
        <v>0.20393999999999982</v>
      </c>
      <c r="P39" s="16">
        <f t="shared" si="9"/>
        <v>4.7547705201449642</v>
      </c>
      <c r="Q39" s="16">
        <f t="shared" si="10"/>
        <v>0.14737325583706901</v>
      </c>
      <c r="R39" s="16">
        <f t="shared" si="11"/>
        <v>0.4629867378733451</v>
      </c>
      <c r="S39" s="16">
        <f t="shared" si="12"/>
        <v>6.6181256890470467E-3</v>
      </c>
      <c r="T39" s="16">
        <f t="shared" si="13"/>
        <v>0.66</v>
      </c>
      <c r="U39" s="16"/>
      <c r="V39" s="16">
        <f t="shared" si="3"/>
        <v>0.48403370546693247</v>
      </c>
      <c r="W39" s="16">
        <f t="shared" ref="W39:AQ39" si="47">9.81/(2*PI())*$E$9^2*TANH(2*PI()*$H39/V39)</f>
        <v>6.2411431604405907</v>
      </c>
      <c r="X39" s="16">
        <f t="shared" si="47"/>
        <v>1.8824444186315188</v>
      </c>
      <c r="Y39" s="16">
        <f t="shared" si="47"/>
        <v>4.8366812071131795</v>
      </c>
      <c r="Z39" s="16">
        <f t="shared" si="47"/>
        <v>2.3804162852761124</v>
      </c>
      <c r="AA39" s="16">
        <f t="shared" si="47"/>
        <v>4.2010253556522512</v>
      </c>
      <c r="AB39" s="16">
        <f t="shared" si="47"/>
        <v>2.6969130451514292</v>
      </c>
      <c r="AC39" s="16">
        <f t="shared" si="47"/>
        <v>3.8523548291744234</v>
      </c>
      <c r="AD39" s="16">
        <f t="shared" si="47"/>
        <v>2.905537517531168</v>
      </c>
      <c r="AE39" s="16">
        <f t="shared" si="47"/>
        <v>3.6459714936552281</v>
      </c>
      <c r="AF39" s="16">
        <f t="shared" si="47"/>
        <v>3.04327355383972</v>
      </c>
      <c r="AG39" s="16">
        <f t="shared" si="47"/>
        <v>3.5192730096028639</v>
      </c>
      <c r="AH39" s="16">
        <f t="shared" si="47"/>
        <v>3.1337147685107229</v>
      </c>
      <c r="AI39" s="16">
        <f t="shared" si="47"/>
        <v>3.4399852243870006</v>
      </c>
      <c r="AJ39" s="16">
        <f t="shared" si="47"/>
        <v>3.1927523175187136</v>
      </c>
      <c r="AK39" s="16">
        <f t="shared" si="47"/>
        <v>3.389831295492796</v>
      </c>
      <c r="AL39" s="16">
        <f t="shared" si="47"/>
        <v>3.2311082854085922</v>
      </c>
      <c r="AM39" s="16">
        <f t="shared" si="47"/>
        <v>3.3579066534001631</v>
      </c>
      <c r="AN39" s="16">
        <f t="shared" si="47"/>
        <v>3.255942230916042</v>
      </c>
      <c r="AO39" s="16">
        <f t="shared" si="47"/>
        <v>3.337508743059983</v>
      </c>
      <c r="AP39" s="16">
        <f t="shared" si="47"/>
        <v>3.2719831598601226</v>
      </c>
      <c r="AQ39" s="16">
        <f t="shared" si="47"/>
        <v>3.3244454366354215</v>
      </c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1:54" customFormat="1">
      <c r="A40" s="23">
        <v>61.5</v>
      </c>
      <c r="B40" s="16">
        <v>-0.379</v>
      </c>
      <c r="H40" s="21">
        <f t="shared" si="5"/>
        <v>0.379</v>
      </c>
      <c r="I40" s="21">
        <f t="shared" si="1"/>
        <v>0.88026436598131785</v>
      </c>
      <c r="J40" s="22" t="e">
        <f t="shared" si="34"/>
        <v>#DIV/0!</v>
      </c>
      <c r="K40" s="22">
        <f t="shared" si="35"/>
        <v>6.692590848985879</v>
      </c>
      <c r="L40" s="16">
        <f t="shared" si="7"/>
        <v>6.692590848985879</v>
      </c>
      <c r="M40" s="16">
        <f t="shared" si="8"/>
        <v>1.1285178851618742</v>
      </c>
      <c r="N40" s="16">
        <f t="shared" si="15"/>
        <v>7.5527084711512567</v>
      </c>
      <c r="O40" s="16">
        <f t="shared" si="16"/>
        <v>0.25014000000000003</v>
      </c>
      <c r="P40" s="16">
        <f t="shared" si="9"/>
        <v>5.930425150529091</v>
      </c>
      <c r="Q40" s="16">
        <f t="shared" si="10"/>
        <v>0.16513435912465219</v>
      </c>
      <c r="R40" s="16">
        <f t="shared" si="11"/>
        <v>0.51878488948126589</v>
      </c>
      <c r="S40" s="16">
        <f t="shared" si="12"/>
        <v>6.4802936961384488E-3</v>
      </c>
      <c r="T40" s="16">
        <f t="shared" si="13"/>
        <v>0.66</v>
      </c>
      <c r="U40" s="16"/>
      <c r="V40" s="16">
        <f t="shared" si="3"/>
        <v>0.59308576513855948</v>
      </c>
      <c r="W40" s="16">
        <f t="shared" ref="W40:AQ40" si="48">9.81/(2*PI())*$E$9^2*TANH(2*PI()*$H40/V40)</f>
        <v>6.2411762410108311</v>
      </c>
      <c r="X40" s="16">
        <f t="shared" si="48"/>
        <v>2.2736026667679541</v>
      </c>
      <c r="Y40" s="16">
        <f t="shared" si="48"/>
        <v>4.8761952260806725</v>
      </c>
      <c r="Z40" s="16">
        <f t="shared" si="48"/>
        <v>2.8285437899497481</v>
      </c>
      <c r="AA40" s="16">
        <f t="shared" si="48"/>
        <v>4.2892912273402004</v>
      </c>
      <c r="AB40" s="16">
        <f t="shared" si="48"/>
        <v>3.1500502330783431</v>
      </c>
      <c r="AC40" s="16">
        <f t="shared" si="48"/>
        <v>3.9887974240732955</v>
      </c>
      <c r="AD40" s="16">
        <f t="shared" si="48"/>
        <v>3.3406669788135823</v>
      </c>
      <c r="AE40" s="16">
        <f t="shared" si="48"/>
        <v>3.8248866535178285</v>
      </c>
      <c r="AF40" s="16">
        <f t="shared" si="48"/>
        <v>3.453162657732173</v>
      </c>
      <c r="AG40" s="16">
        <f t="shared" si="48"/>
        <v>3.7329664121804984</v>
      </c>
      <c r="AH40" s="16">
        <f t="shared" si="48"/>
        <v>3.5190704110446558</v>
      </c>
      <c r="AI40" s="16">
        <f t="shared" si="48"/>
        <v>3.6807241125789134</v>
      </c>
      <c r="AJ40" s="16">
        <f t="shared" si="48"/>
        <v>3.5574656538550862</v>
      </c>
      <c r="AK40" s="16">
        <f t="shared" si="48"/>
        <v>3.65082746887694</v>
      </c>
      <c r="AL40" s="16">
        <f t="shared" si="48"/>
        <v>3.5797496883430182</v>
      </c>
      <c r="AM40" s="16">
        <f t="shared" si="48"/>
        <v>3.6336551579932914</v>
      </c>
      <c r="AN40" s="16">
        <f t="shared" si="48"/>
        <v>3.592653107861461</v>
      </c>
      <c r="AO40" s="16">
        <f t="shared" si="48"/>
        <v>3.623771387777992</v>
      </c>
      <c r="AP40" s="16">
        <f t="shared" si="48"/>
        <v>3.600114382021105</v>
      </c>
      <c r="AQ40" s="16">
        <f t="shared" si="48"/>
        <v>3.6180760995624439</v>
      </c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</row>
    <row r="41" spans="1:54" customFormat="1">
      <c r="A41" s="23">
        <v>58</v>
      </c>
      <c r="B41" s="16">
        <v>-0.379</v>
      </c>
      <c r="H41" s="21">
        <f t="shared" si="5"/>
        <v>0.379</v>
      </c>
      <c r="I41" s="21">
        <f t="shared" ref="I41:I72" si="49">IF(B41&gt;=0,0,0.5*(1+(4*PI()*H41/AQ41)/(SINH(4*PI()*H41/AQ41))))</f>
        <v>0.88026436598131785</v>
      </c>
      <c r="J41" s="22" t="e">
        <f t="shared" si="34"/>
        <v>#DIV/0!</v>
      </c>
      <c r="K41" s="22">
        <f t="shared" si="35"/>
        <v>7.5527084711512567</v>
      </c>
      <c r="L41" s="16">
        <f t="shared" si="7"/>
        <v>7.5527084711512567</v>
      </c>
      <c r="M41" s="16">
        <f t="shared" si="8"/>
        <v>1.2933352910858507</v>
      </c>
      <c r="N41" s="16">
        <f t="shared" si="15"/>
        <v>9.7681844090229806</v>
      </c>
      <c r="O41" s="16">
        <f t="shared" si="16"/>
        <v>0.25014000000000003</v>
      </c>
      <c r="P41" s="16">
        <f t="shared" si="9"/>
        <v>5.8397142049763442</v>
      </c>
      <c r="Q41" s="16">
        <f t="shared" si="10"/>
        <v>0.2025434372435056</v>
      </c>
      <c r="R41" s="16">
        <f t="shared" si="11"/>
        <v>0.6363089744770225</v>
      </c>
      <c r="S41" s="16">
        <f t="shared" si="12"/>
        <v>6.2473035703311764E-3</v>
      </c>
      <c r="T41" s="16">
        <f t="shared" si="13"/>
        <v>0.66</v>
      </c>
      <c r="U41" s="16"/>
      <c r="V41" s="16">
        <f t="shared" ref="V41:V72" si="50">9.81/(2*PI())*$E$9^2*TANH(2*PI()*$H41/I$4)</f>
        <v>0.59308576513855948</v>
      </c>
      <c r="W41" s="16">
        <f t="shared" ref="W41:AQ41" si="51">9.81/(2*PI())*$E$9^2*TANH(2*PI()*$H41/V41)</f>
        <v>6.2411762410108311</v>
      </c>
      <c r="X41" s="16">
        <f t="shared" si="51"/>
        <v>2.2736026667679541</v>
      </c>
      <c r="Y41" s="16">
        <f t="shared" si="51"/>
        <v>4.8761952260806725</v>
      </c>
      <c r="Z41" s="16">
        <f t="shared" si="51"/>
        <v>2.8285437899497481</v>
      </c>
      <c r="AA41" s="16">
        <f t="shared" si="51"/>
        <v>4.2892912273402004</v>
      </c>
      <c r="AB41" s="16">
        <f t="shared" si="51"/>
        <v>3.1500502330783431</v>
      </c>
      <c r="AC41" s="16">
        <f t="shared" si="51"/>
        <v>3.9887974240732955</v>
      </c>
      <c r="AD41" s="16">
        <f t="shared" si="51"/>
        <v>3.3406669788135823</v>
      </c>
      <c r="AE41" s="16">
        <f t="shared" si="51"/>
        <v>3.8248866535178285</v>
      </c>
      <c r="AF41" s="16">
        <f t="shared" si="51"/>
        <v>3.453162657732173</v>
      </c>
      <c r="AG41" s="16">
        <f t="shared" si="51"/>
        <v>3.7329664121804984</v>
      </c>
      <c r="AH41" s="16">
        <f t="shared" si="51"/>
        <v>3.5190704110446558</v>
      </c>
      <c r="AI41" s="16">
        <f t="shared" si="51"/>
        <v>3.6807241125789134</v>
      </c>
      <c r="AJ41" s="16">
        <f t="shared" si="51"/>
        <v>3.5574656538550862</v>
      </c>
      <c r="AK41" s="16">
        <f t="shared" si="51"/>
        <v>3.65082746887694</v>
      </c>
      <c r="AL41" s="16">
        <f t="shared" si="51"/>
        <v>3.5797496883430182</v>
      </c>
      <c r="AM41" s="16">
        <f t="shared" si="51"/>
        <v>3.6336551579932914</v>
      </c>
      <c r="AN41" s="16">
        <f t="shared" si="51"/>
        <v>3.592653107861461</v>
      </c>
      <c r="AO41" s="16">
        <f t="shared" si="51"/>
        <v>3.623771387777992</v>
      </c>
      <c r="AP41" s="16">
        <f t="shared" si="51"/>
        <v>3.600114382021105</v>
      </c>
      <c r="AQ41" s="16">
        <f t="shared" si="51"/>
        <v>3.6180760995624439</v>
      </c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</row>
    <row r="42" spans="1:54" customFormat="1">
      <c r="A42" s="23">
        <v>55</v>
      </c>
      <c r="B42" s="16">
        <v>-0.31899999999999995</v>
      </c>
      <c r="H42" s="21">
        <f t="shared" si="5"/>
        <v>0.31899999999999995</v>
      </c>
      <c r="I42" s="21">
        <f t="shared" si="49"/>
        <v>0.89891910753422377</v>
      </c>
      <c r="J42" s="22" t="e">
        <f t="shared" si="34"/>
        <v>#DIV/0!</v>
      </c>
      <c r="K42" s="22">
        <f t="shared" si="35"/>
        <v>10.198257691054009</v>
      </c>
      <c r="L42" s="16">
        <f t="shared" si="7"/>
        <v>10.198257691054009</v>
      </c>
      <c r="M42" s="16">
        <f t="shared" ref="M42:M73" si="52">1/(1+((64*PI()^3)/(3*9.81^2))*((S42*L41*(A42-A41))/(H42^2))*((H42^2)/($E$9^4))*(((L42/L41)^2)/(SINH(2*PI()*H42/AQ41))^3))</f>
        <v>2.2315135550404408</v>
      </c>
      <c r="N42" s="16">
        <f t="shared" si="15"/>
        <v>22.757550275382449</v>
      </c>
      <c r="O42" s="16">
        <f t="shared" si="16"/>
        <v>0.21053999999999998</v>
      </c>
      <c r="P42" s="16">
        <f t="shared" si="9"/>
        <v>4.5701078839600369</v>
      </c>
      <c r="Q42" s="16">
        <f t="shared" ref="Q42:Q73" si="53">($E$9*R42)/(2*PI())</f>
        <v>0.22077121070425126</v>
      </c>
      <c r="R42" s="16">
        <f t="shared" si="11"/>
        <v>0.69357321367260005</v>
      </c>
      <c r="S42" s="16">
        <f t="shared" si="12"/>
        <v>6.154169219405971E-3</v>
      </c>
      <c r="T42" s="16">
        <f t="shared" si="13"/>
        <v>0.66</v>
      </c>
      <c r="U42" s="16"/>
      <c r="V42" s="16">
        <f t="shared" si="50"/>
        <v>0.49963234931096734</v>
      </c>
      <c r="W42" s="16">
        <f t="shared" ref="W42:AQ42" si="54">9.81/(2*PI())*$E$9^2*TANH(2*PI()*$H42/V42)</f>
        <v>6.2411474900817012</v>
      </c>
      <c r="X42" s="16">
        <f t="shared" si="54"/>
        <v>1.9394291100397114</v>
      </c>
      <c r="Y42" s="16">
        <f t="shared" si="54"/>
        <v>4.8419041653474304</v>
      </c>
      <c r="Z42" s="16">
        <f t="shared" si="54"/>
        <v>2.4470514551232672</v>
      </c>
      <c r="AA42" s="16">
        <f t="shared" si="54"/>
        <v>4.2128514321086259</v>
      </c>
      <c r="AB42" s="16">
        <f t="shared" si="54"/>
        <v>2.7656872045997964</v>
      </c>
      <c r="AC42" s="16">
        <f t="shared" si="54"/>
        <v>3.8709348605803333</v>
      </c>
      <c r="AD42" s="16">
        <f t="shared" si="54"/>
        <v>2.9726934911961869</v>
      </c>
      <c r="AE42" s="16">
        <f t="shared" si="54"/>
        <v>3.6707524054456013</v>
      </c>
      <c r="AF42" s="16">
        <f t="shared" si="54"/>
        <v>3.1072434557504964</v>
      </c>
      <c r="AG42" s="16">
        <f t="shared" si="54"/>
        <v>3.5493580408765877</v>
      </c>
      <c r="AH42" s="16">
        <f t="shared" si="54"/>
        <v>3.1941850843257593</v>
      </c>
      <c r="AI42" s="16">
        <f t="shared" si="54"/>
        <v>3.4743838821934241</v>
      </c>
      <c r="AJ42" s="16">
        <f t="shared" si="54"/>
        <v>3.250029692598893</v>
      </c>
      <c r="AK42" s="16">
        <f t="shared" si="54"/>
        <v>3.4276087888215638</v>
      </c>
      <c r="AL42" s="16">
        <f t="shared" si="54"/>
        <v>3.2857337109407379</v>
      </c>
      <c r="AM42" s="16">
        <f t="shared" si="54"/>
        <v>3.39825588201639</v>
      </c>
      <c r="AN42" s="16">
        <f t="shared" si="54"/>
        <v>3.3084860209025635</v>
      </c>
      <c r="AO42" s="16">
        <f t="shared" si="54"/>
        <v>3.3797719350827427</v>
      </c>
      <c r="AP42" s="16">
        <f t="shared" si="54"/>
        <v>3.3229527381215398</v>
      </c>
      <c r="AQ42" s="16">
        <f t="shared" si="54"/>
        <v>3.3681077579781005</v>
      </c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</row>
    <row r="43" spans="1:54" customFormat="1">
      <c r="A43" s="23">
        <v>53</v>
      </c>
      <c r="B43" s="16">
        <v>-0.18900000000000006</v>
      </c>
      <c r="H43" s="21">
        <f t="shared" si="5"/>
        <v>0.18900000000000006</v>
      </c>
      <c r="I43" s="21">
        <f t="shared" si="49"/>
        <v>0.94377973521332348</v>
      </c>
      <c r="J43" s="22" t="e">
        <f t="shared" si="34"/>
        <v>#DIV/0!</v>
      </c>
      <c r="K43" s="22">
        <f t="shared" si="35"/>
        <v>25.939268855515945</v>
      </c>
      <c r="L43" s="16">
        <f t="shared" si="7"/>
        <v>25.939268855515945</v>
      </c>
      <c r="M43" s="16">
        <f t="shared" si="52"/>
        <v>-0.15703990784132277</v>
      </c>
      <c r="N43" s="16">
        <f t="shared" si="15"/>
        <v>-4.0735003905415175</v>
      </c>
      <c r="O43" s="16">
        <f t="shared" si="16"/>
        <v>-4.0735003905415175</v>
      </c>
      <c r="P43" s="16">
        <f t="shared" si="9"/>
        <v>-165.17628679281739</v>
      </c>
      <c r="Q43" s="16">
        <f t="shared" si="53"/>
        <v>0.241411720858105</v>
      </c>
      <c r="R43" s="16">
        <f t="shared" si="11"/>
        <v>0.75841728873829251</v>
      </c>
      <c r="S43" s="16">
        <f t="shared" si="12"/>
        <v>6.0606401727559683E-3</v>
      </c>
      <c r="T43" s="16">
        <f t="shared" si="13"/>
        <v>-21.552912119267283</v>
      </c>
      <c r="U43" s="16"/>
      <c r="V43" s="16">
        <f t="shared" si="50"/>
        <v>0.29643148408140724</v>
      </c>
      <c r="W43" s="16">
        <f t="shared" ref="W43:AQ43" si="55">9.81/(2*PI())*$E$9^2*TANH(2*PI()*$H43/V43)</f>
        <v>6.2411017185353028</v>
      </c>
      <c r="X43" s="16">
        <f t="shared" si="55"/>
        <v>1.1741734452161563</v>
      </c>
      <c r="Y43" s="16">
        <f t="shared" si="55"/>
        <v>4.7858987814643408</v>
      </c>
      <c r="Z43" s="16">
        <f t="shared" si="55"/>
        <v>1.518589011071892</v>
      </c>
      <c r="AA43" s="16">
        <f t="shared" si="55"/>
        <v>4.083435526082547</v>
      </c>
      <c r="AB43" s="16">
        <f t="shared" si="55"/>
        <v>1.7666800395158648</v>
      </c>
      <c r="AC43" s="16">
        <f t="shared" si="55"/>
        <v>3.6622724852707487</v>
      </c>
      <c r="AD43" s="16">
        <f t="shared" si="55"/>
        <v>1.9569593845438755</v>
      </c>
      <c r="AE43" s="16">
        <f t="shared" si="55"/>
        <v>3.384200093156152</v>
      </c>
      <c r="AF43" s="16">
        <f t="shared" si="55"/>
        <v>2.1057393815352716</v>
      </c>
      <c r="AG43" s="16">
        <f t="shared" si="55"/>
        <v>3.1906861182325863</v>
      </c>
      <c r="AH43" s="16">
        <f t="shared" si="55"/>
        <v>2.2226838673704954</v>
      </c>
      <c r="AI43" s="16">
        <f t="shared" si="55"/>
        <v>3.0516822652673348</v>
      </c>
      <c r="AJ43" s="16">
        <f t="shared" si="55"/>
        <v>2.3145850741670633</v>
      </c>
      <c r="AK43" s="16">
        <f t="shared" si="55"/>
        <v>2.9497911411409898</v>
      </c>
      <c r="AL43" s="16">
        <f t="shared" si="55"/>
        <v>2.3866367307053902</v>
      </c>
      <c r="AM43" s="16">
        <f t="shared" si="55"/>
        <v>2.8740906369279897</v>
      </c>
      <c r="AN43" s="16">
        <f t="shared" si="55"/>
        <v>2.4429567062196615</v>
      </c>
      <c r="AO43" s="16">
        <f t="shared" si="55"/>
        <v>2.8173265791941344</v>
      </c>
      <c r="AP43" s="16">
        <f t="shared" si="55"/>
        <v>2.4868482114002441</v>
      </c>
      <c r="AQ43" s="16">
        <f t="shared" si="55"/>
        <v>2.7744852997016083</v>
      </c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</row>
    <row r="44" spans="1:54" customFormat="1">
      <c r="A44" s="23">
        <v>49</v>
      </c>
      <c r="B44" s="16">
        <v>-9.8999999999999755E-2</v>
      </c>
      <c r="H44" s="21">
        <f t="shared" si="5"/>
        <v>9.8999999999999755E-2</v>
      </c>
      <c r="I44" s="21">
        <f t="shared" si="49"/>
        <v>0.97836535062695629</v>
      </c>
      <c r="J44" s="22" t="e">
        <f t="shared" si="34"/>
        <v>#DIV/0!</v>
      </c>
      <c r="K44" s="22">
        <f t="shared" si="35"/>
        <v>-4.7882235099079686</v>
      </c>
      <c r="L44" s="16">
        <f t="shared" si="7"/>
        <v>-4.7882235099079686</v>
      </c>
      <c r="M44" s="16" t="e">
        <f t="shared" si="52"/>
        <v>#NUM!</v>
      </c>
      <c r="N44" s="16" t="e">
        <f t="shared" si="15"/>
        <v>#NUM!</v>
      </c>
      <c r="O44" s="16" t="e">
        <f t="shared" si="16"/>
        <v>#NUM!</v>
      </c>
      <c r="P44" s="16" t="e">
        <f t="shared" si="9"/>
        <v>#NUM!</v>
      </c>
      <c r="Q44" s="16">
        <f t="shared" si="53"/>
        <v>-6.4536409598687463</v>
      </c>
      <c r="R44" s="16">
        <f t="shared" si="11"/>
        <v>-20.274711028429834</v>
      </c>
      <c r="S44" s="16" t="e">
        <f t="shared" si="12"/>
        <v>#NUM!</v>
      </c>
      <c r="T44" s="16" t="e">
        <f t="shared" si="13"/>
        <v>#NUM!</v>
      </c>
      <c r="U44" s="16"/>
      <c r="V44" s="16">
        <f t="shared" si="50"/>
        <v>0.1553583413296292</v>
      </c>
      <c r="W44" s="16">
        <f t="shared" ref="W44:AQ44" si="56">9.81/(2*PI())*$E$9^2*TANH(2*PI()*$H44/V44)</f>
        <v>6.2410836071337634</v>
      </c>
      <c r="X44" s="16">
        <f t="shared" si="56"/>
        <v>0.6203966861184429</v>
      </c>
      <c r="Y44" s="16">
        <f t="shared" si="56"/>
        <v>4.7632520695063851</v>
      </c>
      <c r="Z44" s="16">
        <f t="shared" si="56"/>
        <v>0.81096405441384545</v>
      </c>
      <c r="AA44" s="16">
        <f t="shared" si="56"/>
        <v>4.0294305169326377</v>
      </c>
      <c r="AB44" s="16">
        <f t="shared" si="56"/>
        <v>0.95651037076871448</v>
      </c>
      <c r="AC44" s="16">
        <f t="shared" si="56"/>
        <v>3.5715503436135219</v>
      </c>
      <c r="AD44" s="16">
        <f t="shared" si="56"/>
        <v>1.0768298112517465</v>
      </c>
      <c r="AE44" s="16">
        <f t="shared" si="56"/>
        <v>3.2535103403573711</v>
      </c>
      <c r="AF44" s="16">
        <f t="shared" si="56"/>
        <v>1.1796822750081484</v>
      </c>
      <c r="AG44" s="16">
        <f t="shared" si="56"/>
        <v>3.0183698791467566</v>
      </c>
      <c r="AH44" s="16">
        <f t="shared" si="56"/>
        <v>1.2691230733546339</v>
      </c>
      <c r="AI44" s="16">
        <f t="shared" si="56"/>
        <v>2.8373351696738194</v>
      </c>
      <c r="AJ44" s="16">
        <f t="shared" si="56"/>
        <v>1.3476364306447495</v>
      </c>
      <c r="AK44" s="16">
        <f t="shared" si="56"/>
        <v>2.6939907162155423</v>
      </c>
      <c r="AL44" s="16">
        <f t="shared" si="56"/>
        <v>1.4169181371880137</v>
      </c>
      <c r="AM44" s="16">
        <f t="shared" si="56"/>
        <v>2.5781602806671575</v>
      </c>
      <c r="AN44" s="16">
        <f t="shared" si="56"/>
        <v>1.4782227917295245</v>
      </c>
      <c r="AO44" s="16">
        <f t="shared" si="56"/>
        <v>2.4831306195548786</v>
      </c>
      <c r="AP44" s="16">
        <f t="shared" si="56"/>
        <v>1.5325370643394618</v>
      </c>
      <c r="AQ44" s="16">
        <f t="shared" si="56"/>
        <v>2.4042547608832279</v>
      </c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</row>
    <row r="45" spans="1:54" customFormat="1">
      <c r="A45" s="23">
        <v>45</v>
      </c>
      <c r="B45" s="16">
        <v>-0.10899999999999999</v>
      </c>
      <c r="H45" s="21">
        <f t="shared" si="5"/>
        <v>0.10899999999999999</v>
      </c>
      <c r="I45" s="21">
        <f t="shared" si="49"/>
        <v>0.97465276024769021</v>
      </c>
      <c r="J45" s="22" t="e">
        <f t="shared" si="34"/>
        <v>#NUM!</v>
      </c>
      <c r="K45" s="22" t="e">
        <f t="shared" si="35"/>
        <v>#NUM!</v>
      </c>
      <c r="L45" s="16" t="e">
        <f t="shared" si="7"/>
        <v>#NUM!</v>
      </c>
      <c r="M45" s="16" t="e">
        <f t="shared" si="52"/>
        <v>#NUM!</v>
      </c>
      <c r="N45" s="16" t="e">
        <f t="shared" si="15"/>
        <v>#NUM!</v>
      </c>
      <c r="O45" s="16" t="e">
        <f t="shared" si="16"/>
        <v>#NUM!</v>
      </c>
      <c r="P45" s="16" t="e">
        <f t="shared" si="9"/>
        <v>#NUM!</v>
      </c>
      <c r="Q45" s="16" t="e">
        <f t="shared" si="53"/>
        <v>#NUM!</v>
      </c>
      <c r="R45" s="16" t="e">
        <f t="shared" si="11"/>
        <v>#NUM!</v>
      </c>
      <c r="S45" s="16" t="e">
        <f t="shared" si="12"/>
        <v>#NUM!</v>
      </c>
      <c r="T45" s="16" t="e">
        <f t="shared" si="13"/>
        <v>#NUM!</v>
      </c>
      <c r="U45" s="16"/>
      <c r="V45" s="16">
        <f t="shared" si="50"/>
        <v>0.17104361450126784</v>
      </c>
      <c r="W45" s="16">
        <f t="shared" ref="W45:AQ45" si="57">9.81/(2*PI())*$E$9^2*TANH(2*PI()*$H45/V45)</f>
        <v>6.2410850635836281</v>
      </c>
      <c r="X45" s="16">
        <f t="shared" si="57"/>
        <v>0.68258547530918079</v>
      </c>
      <c r="Y45" s="16">
        <f t="shared" si="57"/>
        <v>4.7650835057313907</v>
      </c>
      <c r="Z45" s="16">
        <f t="shared" si="57"/>
        <v>0.89147439507726423</v>
      </c>
      <c r="AA45" s="16">
        <f t="shared" si="57"/>
        <v>4.0338346592239596</v>
      </c>
      <c r="AB45" s="16">
        <f t="shared" si="57"/>
        <v>1.0502491269133254</v>
      </c>
      <c r="AC45" s="16">
        <f t="shared" si="57"/>
        <v>3.5790334283551042</v>
      </c>
      <c r="AD45" s="16">
        <f t="shared" si="57"/>
        <v>1.1806841574420457</v>
      </c>
      <c r="AE45" s="16">
        <f t="shared" si="57"/>
        <v>3.2644416276434693</v>
      </c>
      <c r="AF45" s="16">
        <f t="shared" si="57"/>
        <v>1.2913366862969549</v>
      </c>
      <c r="AG45" s="16">
        <f t="shared" si="57"/>
        <v>3.0330170468905182</v>
      </c>
      <c r="AH45" s="16">
        <f t="shared" si="57"/>
        <v>1.3867112387213492</v>
      </c>
      <c r="AI45" s="16">
        <f t="shared" si="57"/>
        <v>2.8558827235146791</v>
      </c>
      <c r="AJ45" s="16">
        <f t="shared" si="57"/>
        <v>1.4696024190780694</v>
      </c>
      <c r="AK45" s="16">
        <f t="shared" si="57"/>
        <v>2.7165522740493722</v>
      </c>
      <c r="AL45" s="16">
        <f t="shared" si="57"/>
        <v>1.5419503727231607</v>
      </c>
      <c r="AM45" s="16">
        <f t="shared" si="57"/>
        <v>2.6047882963464826</v>
      </c>
      <c r="AN45" s="16">
        <f t="shared" si="57"/>
        <v>1.6052171689874495</v>
      </c>
      <c r="AO45" s="16">
        <f t="shared" si="57"/>
        <v>2.513824896693682</v>
      </c>
      <c r="AP45" s="16">
        <f t="shared" si="57"/>
        <v>1.6605722799413889</v>
      </c>
      <c r="AQ45" s="16">
        <f t="shared" si="57"/>
        <v>2.4389702754327183</v>
      </c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</row>
    <row r="46" spans="1:54" customFormat="1">
      <c r="A46" s="23">
        <v>43</v>
      </c>
      <c r="B46" s="16">
        <v>-9.8999999999999755E-2</v>
      </c>
      <c r="H46" s="21">
        <f t="shared" si="5"/>
        <v>9.8999999999999755E-2</v>
      </c>
      <c r="I46" s="21">
        <f t="shared" si="49"/>
        <v>0.97836535062695629</v>
      </c>
      <c r="J46" s="22" t="e">
        <f t="shared" si="34"/>
        <v>#NUM!</v>
      </c>
      <c r="K46" s="22" t="e">
        <f t="shared" si="35"/>
        <v>#NUM!</v>
      </c>
      <c r="L46" s="16" t="e">
        <f t="shared" si="7"/>
        <v>#NUM!</v>
      </c>
      <c r="M46" s="16" t="e">
        <f t="shared" si="52"/>
        <v>#NUM!</v>
      </c>
      <c r="N46" s="16" t="e">
        <f t="shared" si="15"/>
        <v>#NUM!</v>
      </c>
      <c r="O46" s="16" t="e">
        <f t="shared" si="16"/>
        <v>#NUM!</v>
      </c>
      <c r="P46" s="16" t="e">
        <f t="shared" si="9"/>
        <v>#NUM!</v>
      </c>
      <c r="Q46" s="16" t="e">
        <f t="shared" si="53"/>
        <v>#NUM!</v>
      </c>
      <c r="R46" s="16" t="e">
        <f t="shared" si="11"/>
        <v>#NUM!</v>
      </c>
      <c r="S46" s="16" t="e">
        <f t="shared" si="12"/>
        <v>#NUM!</v>
      </c>
      <c r="T46" s="16" t="e">
        <f t="shared" si="13"/>
        <v>#NUM!</v>
      </c>
      <c r="U46" s="16"/>
      <c r="V46" s="16">
        <f t="shared" si="50"/>
        <v>0.1553583413296292</v>
      </c>
      <c r="W46" s="16">
        <f t="shared" ref="W46:AQ46" si="58">9.81/(2*PI())*$E$9^2*TANH(2*PI()*$H46/V46)</f>
        <v>6.2410836071337634</v>
      </c>
      <c r="X46" s="16">
        <f t="shared" si="58"/>
        <v>0.6203966861184429</v>
      </c>
      <c r="Y46" s="16">
        <f t="shared" si="58"/>
        <v>4.7632520695063851</v>
      </c>
      <c r="Z46" s="16">
        <f t="shared" si="58"/>
        <v>0.81096405441384545</v>
      </c>
      <c r="AA46" s="16">
        <f t="shared" si="58"/>
        <v>4.0294305169326377</v>
      </c>
      <c r="AB46" s="16">
        <f t="shared" si="58"/>
        <v>0.95651037076871448</v>
      </c>
      <c r="AC46" s="16">
        <f t="shared" si="58"/>
        <v>3.5715503436135219</v>
      </c>
      <c r="AD46" s="16">
        <f t="shared" si="58"/>
        <v>1.0768298112517465</v>
      </c>
      <c r="AE46" s="16">
        <f t="shared" si="58"/>
        <v>3.2535103403573711</v>
      </c>
      <c r="AF46" s="16">
        <f t="shared" si="58"/>
        <v>1.1796822750081484</v>
      </c>
      <c r="AG46" s="16">
        <f t="shared" si="58"/>
        <v>3.0183698791467566</v>
      </c>
      <c r="AH46" s="16">
        <f t="shared" si="58"/>
        <v>1.2691230733546339</v>
      </c>
      <c r="AI46" s="16">
        <f t="shared" si="58"/>
        <v>2.8373351696738194</v>
      </c>
      <c r="AJ46" s="16">
        <f t="shared" si="58"/>
        <v>1.3476364306447495</v>
      </c>
      <c r="AK46" s="16">
        <f t="shared" si="58"/>
        <v>2.6939907162155423</v>
      </c>
      <c r="AL46" s="16">
        <f t="shared" si="58"/>
        <v>1.4169181371880137</v>
      </c>
      <c r="AM46" s="16">
        <f t="shared" si="58"/>
        <v>2.5781602806671575</v>
      </c>
      <c r="AN46" s="16">
        <f t="shared" si="58"/>
        <v>1.4782227917295245</v>
      </c>
      <c r="AO46" s="16">
        <f t="shared" si="58"/>
        <v>2.4831306195548786</v>
      </c>
      <c r="AP46" s="16">
        <f t="shared" si="58"/>
        <v>1.5325370643394618</v>
      </c>
      <c r="AQ46" s="16">
        <f t="shared" si="58"/>
        <v>2.4042547608832279</v>
      </c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</row>
    <row r="47" spans="1:54" customFormat="1">
      <c r="A47" s="23">
        <v>41</v>
      </c>
      <c r="B47" s="16">
        <v>-4.8999999999999932E-2</v>
      </c>
      <c r="H47" s="21">
        <f t="shared" si="5"/>
        <v>4.8999999999999932E-2</v>
      </c>
      <c r="I47" s="21">
        <f t="shared" si="49"/>
        <v>0.99392775979121284</v>
      </c>
      <c r="J47" s="22" t="e">
        <f t="shared" si="34"/>
        <v>#NUM!</v>
      </c>
      <c r="K47" s="22" t="e">
        <f t="shared" si="35"/>
        <v>#NUM!</v>
      </c>
      <c r="L47" s="16" t="e">
        <f t="shared" si="7"/>
        <v>#NUM!</v>
      </c>
      <c r="M47" s="16" t="e">
        <f t="shared" si="52"/>
        <v>#NUM!</v>
      </c>
      <c r="N47" s="16" t="e">
        <f t="shared" si="15"/>
        <v>#NUM!</v>
      </c>
      <c r="O47" s="16" t="e">
        <f t="shared" si="16"/>
        <v>#NUM!</v>
      </c>
      <c r="P47" s="16" t="e">
        <f t="shared" si="9"/>
        <v>#NUM!</v>
      </c>
      <c r="Q47" s="16" t="e">
        <f t="shared" si="53"/>
        <v>#NUM!</v>
      </c>
      <c r="R47" s="16" t="e">
        <f t="shared" si="11"/>
        <v>#NUM!</v>
      </c>
      <c r="S47" s="16" t="e">
        <f t="shared" si="12"/>
        <v>#NUM!</v>
      </c>
      <c r="T47" s="16" t="e">
        <f t="shared" si="13"/>
        <v>#NUM!</v>
      </c>
      <c r="U47" s="16"/>
      <c r="V47" s="16">
        <f t="shared" si="50"/>
        <v>7.690651215135412E-2</v>
      </c>
      <c r="W47" s="16">
        <f t="shared" ref="W47:AQ47" si="59">9.81/(2*PI())*$E$9^2*TANH(2*PI()*$H47/V47)</f>
        <v>6.2410784211871153</v>
      </c>
      <c r="X47" s="16">
        <f t="shared" si="59"/>
        <v>0.3078317085096286</v>
      </c>
      <c r="Y47" s="16">
        <f t="shared" si="59"/>
        <v>4.7567162818785578</v>
      </c>
      <c r="Z47" s="16">
        <f t="shared" si="59"/>
        <v>0.40365651360960519</v>
      </c>
      <c r="AA47" s="16">
        <f t="shared" si="59"/>
        <v>4.0136603272966385</v>
      </c>
      <c r="AB47" s="16">
        <f t="shared" si="59"/>
        <v>0.4781166173152207</v>
      </c>
      <c r="AC47" s="16">
        <f t="shared" si="59"/>
        <v>3.5446294105895655</v>
      </c>
      <c r="AD47" s="16">
        <f t="shared" si="59"/>
        <v>0.54108317930866423</v>
      </c>
      <c r="AE47" s="16">
        <f t="shared" si="59"/>
        <v>3.2139513500065804</v>
      </c>
      <c r="AF47" s="16">
        <f t="shared" si="59"/>
        <v>0.59643098103350412</v>
      </c>
      <c r="AG47" s="16">
        <f t="shared" si="59"/>
        <v>2.9649887182341117</v>
      </c>
      <c r="AH47" s="16">
        <f t="shared" si="59"/>
        <v>0.64616744078705624</v>
      </c>
      <c r="AI47" s="16">
        <f t="shared" si="59"/>
        <v>2.7691892014941173</v>
      </c>
      <c r="AJ47" s="16">
        <f t="shared" si="59"/>
        <v>0.69149362899530409</v>
      </c>
      <c r="AK47" s="16">
        <f t="shared" si="59"/>
        <v>2.6103417666360897</v>
      </c>
      <c r="AL47" s="16">
        <f t="shared" si="59"/>
        <v>0.73319652782164602</v>
      </c>
      <c r="AM47" s="16">
        <f t="shared" si="59"/>
        <v>2.4784488648444278</v>
      </c>
      <c r="AN47" s="16">
        <f t="shared" si="59"/>
        <v>0.77182575933363484</v>
      </c>
      <c r="AO47" s="16">
        <f t="shared" si="59"/>
        <v>2.3669558143721892</v>
      </c>
      <c r="AP47" s="16">
        <f t="shared" si="59"/>
        <v>0.8077840853699676</v>
      </c>
      <c r="AQ47" s="16">
        <f t="shared" si="59"/>
        <v>2.2713571368963992</v>
      </c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</row>
    <row r="48" spans="1:54" customFormat="1">
      <c r="A48" s="23">
        <v>37.5</v>
      </c>
      <c r="B48" s="16">
        <v>3.6000000000000032E-2</v>
      </c>
      <c r="H48" s="21">
        <f t="shared" si="5"/>
        <v>0</v>
      </c>
      <c r="I48" s="21">
        <f t="shared" si="49"/>
        <v>0</v>
      </c>
      <c r="J48" s="22" t="str">
        <f t="shared" si="34"/>
        <v xml:space="preserve"> </v>
      </c>
      <c r="K48" s="22" t="str">
        <f t="shared" si="35"/>
        <v xml:space="preserve"> </v>
      </c>
      <c r="L48" s="16" t="e">
        <f t="shared" si="7"/>
        <v>#NUM!</v>
      </c>
      <c r="M48" s="16" t="e">
        <f t="shared" si="52"/>
        <v>#NUM!</v>
      </c>
      <c r="N48" s="16" t="e">
        <f t="shared" si="15"/>
        <v>#NUM!</v>
      </c>
      <c r="O48" s="16" t="e">
        <f t="shared" si="16"/>
        <v>#NUM!</v>
      </c>
      <c r="P48" s="16" t="e">
        <f t="shared" si="9"/>
        <v>#VALUE!</v>
      </c>
      <c r="Q48" s="16" t="e">
        <f t="shared" si="53"/>
        <v>#NUM!</v>
      </c>
      <c r="R48" s="16" t="e">
        <f t="shared" si="11"/>
        <v>#NUM!</v>
      </c>
      <c r="S48" s="16" t="e">
        <f t="shared" si="12"/>
        <v>#NUM!</v>
      </c>
      <c r="T48" s="16" t="e">
        <f t="shared" si="13"/>
        <v>#NUM!</v>
      </c>
      <c r="U48" s="16"/>
      <c r="V48" s="16">
        <f t="shared" si="50"/>
        <v>0</v>
      </c>
      <c r="W48" s="16" t="e">
        <f t="shared" ref="W48:AQ48" si="60">9.81/(2*PI())*$E$9^2*TANH(2*PI()*$H48/V48)</f>
        <v>#DIV/0!</v>
      </c>
      <c r="X48" s="16" t="e">
        <f t="shared" si="60"/>
        <v>#DIV/0!</v>
      </c>
      <c r="Y48" s="16" t="e">
        <f t="shared" si="60"/>
        <v>#DIV/0!</v>
      </c>
      <c r="Z48" s="16" t="e">
        <f t="shared" si="60"/>
        <v>#DIV/0!</v>
      </c>
      <c r="AA48" s="16" t="e">
        <f t="shared" si="60"/>
        <v>#DIV/0!</v>
      </c>
      <c r="AB48" s="16" t="e">
        <f t="shared" si="60"/>
        <v>#DIV/0!</v>
      </c>
      <c r="AC48" s="16" t="e">
        <f t="shared" si="60"/>
        <v>#DIV/0!</v>
      </c>
      <c r="AD48" s="16" t="e">
        <f t="shared" si="60"/>
        <v>#DIV/0!</v>
      </c>
      <c r="AE48" s="16" t="e">
        <f t="shared" si="60"/>
        <v>#DIV/0!</v>
      </c>
      <c r="AF48" s="16" t="e">
        <f t="shared" si="60"/>
        <v>#DIV/0!</v>
      </c>
      <c r="AG48" s="16" t="e">
        <f t="shared" si="60"/>
        <v>#DIV/0!</v>
      </c>
      <c r="AH48" s="16" t="e">
        <f t="shared" si="60"/>
        <v>#DIV/0!</v>
      </c>
      <c r="AI48" s="16" t="e">
        <f t="shared" si="60"/>
        <v>#DIV/0!</v>
      </c>
      <c r="AJ48" s="16" t="e">
        <f t="shared" si="60"/>
        <v>#DIV/0!</v>
      </c>
      <c r="AK48" s="16" t="e">
        <f t="shared" si="60"/>
        <v>#DIV/0!</v>
      </c>
      <c r="AL48" s="16" t="e">
        <f t="shared" si="60"/>
        <v>#DIV/0!</v>
      </c>
      <c r="AM48" s="16" t="e">
        <f t="shared" si="60"/>
        <v>#DIV/0!</v>
      </c>
      <c r="AN48" s="16" t="e">
        <f t="shared" si="60"/>
        <v>#DIV/0!</v>
      </c>
      <c r="AO48" s="16" t="e">
        <f t="shared" si="60"/>
        <v>#DIV/0!</v>
      </c>
      <c r="AP48" s="16" t="e">
        <f t="shared" si="60"/>
        <v>#DIV/0!</v>
      </c>
      <c r="AQ48" s="16" t="e">
        <f t="shared" si="60"/>
        <v>#DIV/0!</v>
      </c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</row>
    <row r="49" spans="1:54" customFormat="1">
      <c r="A49" s="23">
        <v>35</v>
      </c>
      <c r="B49" s="16">
        <v>-8.999999999999897E-3</v>
      </c>
      <c r="H49" s="21">
        <f t="shared" si="5"/>
        <v>8.999999999999897E-3</v>
      </c>
      <c r="I49" s="21">
        <f t="shared" si="49"/>
        <v>0.99978500697042882</v>
      </c>
      <c r="J49" s="22" t="e">
        <f t="shared" si="34"/>
        <v>#NUM!</v>
      </c>
      <c r="K49" s="22" t="e">
        <f t="shared" si="35"/>
        <v>#NUM!</v>
      </c>
      <c r="L49" s="16" t="e">
        <f t="shared" si="7"/>
        <v>#NUM!</v>
      </c>
      <c r="M49" s="16" t="e">
        <f t="shared" si="52"/>
        <v>#NUM!</v>
      </c>
      <c r="N49" s="16" t="e">
        <f t="shared" si="15"/>
        <v>#NUM!</v>
      </c>
      <c r="O49" s="16" t="e">
        <f t="shared" si="16"/>
        <v>#NUM!</v>
      </c>
      <c r="P49" s="16" t="e">
        <f t="shared" si="9"/>
        <v>#NUM!</v>
      </c>
      <c r="Q49" s="16" t="e">
        <f t="shared" si="53"/>
        <v>#NUM!</v>
      </c>
      <c r="R49" s="16" t="e">
        <f t="shared" si="11"/>
        <v>#NUM!</v>
      </c>
      <c r="S49" s="16" t="e">
        <f t="shared" si="12"/>
        <v>#NUM!</v>
      </c>
      <c r="T49" s="16" t="e">
        <f t="shared" si="13"/>
        <v>#NUM!</v>
      </c>
      <c r="U49" s="16"/>
      <c r="V49" s="16">
        <f t="shared" si="50"/>
        <v>1.41263759079311E-2</v>
      </c>
      <c r="W49" s="16">
        <f t="shared" ref="W49:AQ49" si="61">9.81/(2*PI())*$E$9^2*TANH(2*PI()*$H49/V49)</f>
        <v>6.2410767939246652</v>
      </c>
      <c r="X49" s="16">
        <f t="shared" si="61"/>
        <v>5.6584840654027489E-2</v>
      </c>
      <c r="Y49" s="16">
        <f t="shared" si="61"/>
        <v>4.7546607462994688</v>
      </c>
      <c r="Z49" s="16">
        <f t="shared" si="61"/>
        <v>7.4273090802136316E-2</v>
      </c>
      <c r="AA49" s="16">
        <f t="shared" si="61"/>
        <v>4.0086832660654004</v>
      </c>
      <c r="AB49" s="16">
        <f t="shared" si="61"/>
        <v>8.8092910510229883E-2</v>
      </c>
      <c r="AC49" s="16">
        <f t="shared" si="61"/>
        <v>3.5360920584913993</v>
      </c>
      <c r="AD49" s="16">
        <f t="shared" si="61"/>
        <v>9.9864452507688883E-2</v>
      </c>
      <c r="AE49" s="16">
        <f t="shared" si="61"/>
        <v>3.20132906826049</v>
      </c>
      <c r="AF49" s="16">
        <f t="shared" si="61"/>
        <v>0.11030520946682153</v>
      </c>
      <c r="AG49" s="16">
        <f t="shared" si="61"/>
        <v>2.9478302348320939</v>
      </c>
      <c r="AH49" s="16">
        <f t="shared" si="61"/>
        <v>0.11978867780147463</v>
      </c>
      <c r="AI49" s="16">
        <f t="shared" si="61"/>
        <v>2.747096811061517</v>
      </c>
      <c r="AJ49" s="16">
        <f t="shared" si="61"/>
        <v>0.12853938188909261</v>
      </c>
      <c r="AK49" s="16">
        <f t="shared" si="61"/>
        <v>2.5829600176656777</v>
      </c>
      <c r="AL49" s="16">
        <f t="shared" si="61"/>
        <v>0.13670501476984359</v>
      </c>
      <c r="AM49" s="16">
        <f t="shared" si="61"/>
        <v>2.4454574009033161</v>
      </c>
      <c r="AN49" s="16">
        <f t="shared" si="61"/>
        <v>0.14438896640104287</v>
      </c>
      <c r="AO49" s="16">
        <f t="shared" si="61"/>
        <v>2.3280645054703863</v>
      </c>
      <c r="AP49" s="16">
        <f t="shared" si="61"/>
        <v>0.15166700077345169</v>
      </c>
      <c r="AQ49" s="16">
        <f t="shared" si="61"/>
        <v>2.2263025805369643</v>
      </c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</row>
    <row r="50" spans="1:54" customFormat="1">
      <c r="A50" s="23">
        <v>33</v>
      </c>
      <c r="B50" s="16">
        <v>-8.999999999999897E-3</v>
      </c>
      <c r="H50" s="21">
        <f t="shared" si="5"/>
        <v>8.999999999999897E-3</v>
      </c>
      <c r="I50" s="21">
        <f t="shared" si="49"/>
        <v>0.99978500697042882</v>
      </c>
      <c r="J50" s="22" t="e">
        <f t="shared" si="34"/>
        <v>#NUM!</v>
      </c>
      <c r="K50" s="22" t="e">
        <f t="shared" si="35"/>
        <v>#NUM!</v>
      </c>
      <c r="L50" s="16" t="e">
        <f t="shared" si="7"/>
        <v>#NUM!</v>
      </c>
      <c r="M50" s="16" t="e">
        <f t="shared" si="52"/>
        <v>#NUM!</v>
      </c>
      <c r="N50" s="16" t="e">
        <f t="shared" si="15"/>
        <v>#NUM!</v>
      </c>
      <c r="O50" s="16" t="e">
        <f t="shared" si="16"/>
        <v>#NUM!</v>
      </c>
      <c r="P50" s="16" t="e">
        <f t="shared" si="9"/>
        <v>#NUM!</v>
      </c>
      <c r="Q50" s="16" t="e">
        <f t="shared" si="53"/>
        <v>#NUM!</v>
      </c>
      <c r="R50" s="16" t="e">
        <f t="shared" si="11"/>
        <v>#NUM!</v>
      </c>
      <c r="S50" s="16" t="e">
        <f t="shared" si="12"/>
        <v>#NUM!</v>
      </c>
      <c r="T50" s="16" t="e">
        <f t="shared" si="13"/>
        <v>#NUM!</v>
      </c>
      <c r="U50" s="16"/>
      <c r="V50" s="16">
        <f t="shared" si="50"/>
        <v>1.41263759079311E-2</v>
      </c>
      <c r="W50" s="16">
        <f t="shared" ref="W50:AQ50" si="62">9.81/(2*PI())*$E$9^2*TANH(2*PI()*$H50/V50)</f>
        <v>6.2410767939246652</v>
      </c>
      <c r="X50" s="16">
        <f t="shared" si="62"/>
        <v>5.6584840654027489E-2</v>
      </c>
      <c r="Y50" s="16">
        <f t="shared" si="62"/>
        <v>4.7546607462994688</v>
      </c>
      <c r="Z50" s="16">
        <f t="shared" si="62"/>
        <v>7.4273090802136316E-2</v>
      </c>
      <c r="AA50" s="16">
        <f t="shared" si="62"/>
        <v>4.0086832660654004</v>
      </c>
      <c r="AB50" s="16">
        <f t="shared" si="62"/>
        <v>8.8092910510229883E-2</v>
      </c>
      <c r="AC50" s="16">
        <f t="shared" si="62"/>
        <v>3.5360920584913993</v>
      </c>
      <c r="AD50" s="16">
        <f t="shared" si="62"/>
        <v>9.9864452507688883E-2</v>
      </c>
      <c r="AE50" s="16">
        <f t="shared" si="62"/>
        <v>3.20132906826049</v>
      </c>
      <c r="AF50" s="16">
        <f t="shared" si="62"/>
        <v>0.11030520946682153</v>
      </c>
      <c r="AG50" s="16">
        <f t="shared" si="62"/>
        <v>2.9478302348320939</v>
      </c>
      <c r="AH50" s="16">
        <f t="shared" si="62"/>
        <v>0.11978867780147463</v>
      </c>
      <c r="AI50" s="16">
        <f t="shared" si="62"/>
        <v>2.747096811061517</v>
      </c>
      <c r="AJ50" s="16">
        <f t="shared" si="62"/>
        <v>0.12853938188909261</v>
      </c>
      <c r="AK50" s="16">
        <f t="shared" si="62"/>
        <v>2.5829600176656777</v>
      </c>
      <c r="AL50" s="16">
        <f t="shared" si="62"/>
        <v>0.13670501476984359</v>
      </c>
      <c r="AM50" s="16">
        <f t="shared" si="62"/>
        <v>2.4454574009033161</v>
      </c>
      <c r="AN50" s="16">
        <f t="shared" si="62"/>
        <v>0.14438896640104287</v>
      </c>
      <c r="AO50" s="16">
        <f t="shared" si="62"/>
        <v>2.3280645054703863</v>
      </c>
      <c r="AP50" s="16">
        <f t="shared" si="62"/>
        <v>0.15166700077345169</v>
      </c>
      <c r="AQ50" s="16">
        <f t="shared" si="62"/>
        <v>2.2263025805369643</v>
      </c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</row>
    <row r="51" spans="1:54" customFormat="1">
      <c r="A51" s="23">
        <v>31</v>
      </c>
      <c r="B51" s="16">
        <v>0.18100000000000005</v>
      </c>
      <c r="H51" s="21">
        <f t="shared" si="5"/>
        <v>0</v>
      </c>
      <c r="I51" s="21">
        <f t="shared" si="49"/>
        <v>0</v>
      </c>
      <c r="J51" s="22" t="str">
        <f t="shared" si="34"/>
        <v xml:space="preserve"> </v>
      </c>
      <c r="K51" s="22" t="str">
        <f t="shared" si="35"/>
        <v xml:space="preserve"> </v>
      </c>
      <c r="L51" s="16" t="e">
        <f t="shared" si="7"/>
        <v>#NUM!</v>
      </c>
      <c r="M51" s="16" t="e">
        <f t="shared" si="52"/>
        <v>#NUM!</v>
      </c>
      <c r="N51" s="16" t="e">
        <f t="shared" si="15"/>
        <v>#NUM!</v>
      </c>
      <c r="O51" s="16" t="e">
        <f t="shared" si="16"/>
        <v>#NUM!</v>
      </c>
      <c r="P51" s="16" t="e">
        <f t="shared" si="9"/>
        <v>#VALUE!</v>
      </c>
      <c r="Q51" s="16" t="e">
        <f t="shared" si="53"/>
        <v>#NUM!</v>
      </c>
      <c r="R51" s="16" t="e">
        <f t="shared" si="11"/>
        <v>#NUM!</v>
      </c>
      <c r="S51" s="16" t="e">
        <f t="shared" si="12"/>
        <v>#NUM!</v>
      </c>
      <c r="T51" s="16" t="e">
        <f t="shared" si="13"/>
        <v>#NUM!</v>
      </c>
      <c r="U51" s="16"/>
      <c r="V51" s="16">
        <f t="shared" si="50"/>
        <v>0</v>
      </c>
      <c r="W51" s="16" t="e">
        <f t="shared" ref="W51:AQ51" si="63">9.81/(2*PI())*$E$9^2*TANH(2*PI()*$H51/V51)</f>
        <v>#DIV/0!</v>
      </c>
      <c r="X51" s="16" t="e">
        <f t="shared" si="63"/>
        <v>#DIV/0!</v>
      </c>
      <c r="Y51" s="16" t="e">
        <f t="shared" si="63"/>
        <v>#DIV/0!</v>
      </c>
      <c r="Z51" s="16" t="e">
        <f t="shared" si="63"/>
        <v>#DIV/0!</v>
      </c>
      <c r="AA51" s="16" t="e">
        <f t="shared" si="63"/>
        <v>#DIV/0!</v>
      </c>
      <c r="AB51" s="16" t="e">
        <f t="shared" si="63"/>
        <v>#DIV/0!</v>
      </c>
      <c r="AC51" s="16" t="e">
        <f t="shared" si="63"/>
        <v>#DIV/0!</v>
      </c>
      <c r="AD51" s="16" t="e">
        <f t="shared" si="63"/>
        <v>#DIV/0!</v>
      </c>
      <c r="AE51" s="16" t="e">
        <f t="shared" si="63"/>
        <v>#DIV/0!</v>
      </c>
      <c r="AF51" s="16" t="e">
        <f t="shared" si="63"/>
        <v>#DIV/0!</v>
      </c>
      <c r="AG51" s="16" t="e">
        <f t="shared" si="63"/>
        <v>#DIV/0!</v>
      </c>
      <c r="AH51" s="16" t="e">
        <f t="shared" si="63"/>
        <v>#DIV/0!</v>
      </c>
      <c r="AI51" s="16" t="e">
        <f t="shared" si="63"/>
        <v>#DIV/0!</v>
      </c>
      <c r="AJ51" s="16" t="e">
        <f t="shared" si="63"/>
        <v>#DIV/0!</v>
      </c>
      <c r="AK51" s="16" t="e">
        <f t="shared" si="63"/>
        <v>#DIV/0!</v>
      </c>
      <c r="AL51" s="16" t="e">
        <f t="shared" si="63"/>
        <v>#DIV/0!</v>
      </c>
      <c r="AM51" s="16" t="e">
        <f t="shared" si="63"/>
        <v>#DIV/0!</v>
      </c>
      <c r="AN51" s="16" t="e">
        <f t="shared" si="63"/>
        <v>#DIV/0!</v>
      </c>
      <c r="AO51" s="16" t="e">
        <f t="shared" si="63"/>
        <v>#DIV/0!</v>
      </c>
      <c r="AP51" s="16" t="e">
        <f t="shared" si="63"/>
        <v>#DIV/0!</v>
      </c>
      <c r="AQ51" s="16" t="e">
        <f t="shared" si="63"/>
        <v>#DIV/0!</v>
      </c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</row>
    <row r="52" spans="1:54" customFormat="1">
      <c r="A52" s="23">
        <v>29</v>
      </c>
      <c r="B52" s="16">
        <v>0.33099999999999974</v>
      </c>
      <c r="H52" s="21">
        <f t="shared" si="5"/>
        <v>0</v>
      </c>
      <c r="I52" s="21">
        <f t="shared" si="49"/>
        <v>0</v>
      </c>
      <c r="J52" s="22" t="str">
        <f t="shared" si="34"/>
        <v xml:space="preserve"> </v>
      </c>
      <c r="K52" s="22" t="str">
        <f t="shared" si="35"/>
        <v xml:space="preserve"> </v>
      </c>
      <c r="L52" s="16" t="e">
        <f t="shared" si="7"/>
        <v>#NUM!</v>
      </c>
      <c r="M52" s="16" t="e">
        <f t="shared" si="52"/>
        <v>#NUM!</v>
      </c>
      <c r="N52" s="16" t="e">
        <f t="shared" si="15"/>
        <v>#NUM!</v>
      </c>
      <c r="O52" s="16" t="e">
        <f t="shared" si="16"/>
        <v>#NUM!</v>
      </c>
      <c r="P52" s="16" t="e">
        <f t="shared" si="9"/>
        <v>#VALUE!</v>
      </c>
      <c r="Q52" s="16" t="e">
        <f t="shared" si="53"/>
        <v>#NUM!</v>
      </c>
      <c r="R52" s="16" t="e">
        <f t="shared" si="11"/>
        <v>#NUM!</v>
      </c>
      <c r="S52" s="16" t="e">
        <f t="shared" si="12"/>
        <v>#NUM!</v>
      </c>
      <c r="T52" s="16" t="e">
        <f t="shared" si="13"/>
        <v>#NUM!</v>
      </c>
      <c r="U52" s="16"/>
      <c r="V52" s="16">
        <f t="shared" si="50"/>
        <v>0</v>
      </c>
      <c r="W52" s="16" t="e">
        <f t="shared" ref="W52:AQ52" si="64">9.81/(2*PI())*$E$9^2*TANH(2*PI()*$H52/V52)</f>
        <v>#DIV/0!</v>
      </c>
      <c r="X52" s="16" t="e">
        <f t="shared" si="64"/>
        <v>#DIV/0!</v>
      </c>
      <c r="Y52" s="16" t="e">
        <f t="shared" si="64"/>
        <v>#DIV/0!</v>
      </c>
      <c r="Z52" s="16" t="e">
        <f t="shared" si="64"/>
        <v>#DIV/0!</v>
      </c>
      <c r="AA52" s="16" t="e">
        <f t="shared" si="64"/>
        <v>#DIV/0!</v>
      </c>
      <c r="AB52" s="16" t="e">
        <f t="shared" si="64"/>
        <v>#DIV/0!</v>
      </c>
      <c r="AC52" s="16" t="e">
        <f t="shared" si="64"/>
        <v>#DIV/0!</v>
      </c>
      <c r="AD52" s="16" t="e">
        <f t="shared" si="64"/>
        <v>#DIV/0!</v>
      </c>
      <c r="AE52" s="16" t="e">
        <f t="shared" si="64"/>
        <v>#DIV/0!</v>
      </c>
      <c r="AF52" s="16" t="e">
        <f t="shared" si="64"/>
        <v>#DIV/0!</v>
      </c>
      <c r="AG52" s="16" t="e">
        <f t="shared" si="64"/>
        <v>#DIV/0!</v>
      </c>
      <c r="AH52" s="16" t="e">
        <f t="shared" si="64"/>
        <v>#DIV/0!</v>
      </c>
      <c r="AI52" s="16" t="e">
        <f t="shared" si="64"/>
        <v>#DIV/0!</v>
      </c>
      <c r="AJ52" s="16" t="e">
        <f t="shared" si="64"/>
        <v>#DIV/0!</v>
      </c>
      <c r="AK52" s="16" t="e">
        <f t="shared" si="64"/>
        <v>#DIV/0!</v>
      </c>
      <c r="AL52" s="16" t="e">
        <f t="shared" si="64"/>
        <v>#DIV/0!</v>
      </c>
      <c r="AM52" s="16" t="e">
        <f t="shared" si="64"/>
        <v>#DIV/0!</v>
      </c>
      <c r="AN52" s="16" t="e">
        <f t="shared" si="64"/>
        <v>#DIV/0!</v>
      </c>
      <c r="AO52" s="16" t="e">
        <f t="shared" si="64"/>
        <v>#DIV/0!</v>
      </c>
      <c r="AP52" s="16" t="e">
        <f t="shared" si="64"/>
        <v>#DIV/0!</v>
      </c>
      <c r="AQ52" s="16" t="e">
        <f t="shared" si="64"/>
        <v>#DIV/0!</v>
      </c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</row>
    <row r="53" spans="1:54" customFormat="1">
      <c r="A53" s="23">
        <v>26</v>
      </c>
      <c r="B53" s="16">
        <v>0.48599999999999999</v>
      </c>
      <c r="H53" s="21">
        <f t="shared" si="5"/>
        <v>0</v>
      </c>
      <c r="I53" s="21">
        <f t="shared" si="49"/>
        <v>0</v>
      </c>
      <c r="J53" s="22" t="str">
        <f t="shared" si="34"/>
        <v xml:space="preserve"> </v>
      </c>
      <c r="K53" s="22" t="str">
        <f t="shared" si="35"/>
        <v xml:space="preserve"> </v>
      </c>
      <c r="L53" s="16" t="e">
        <f t="shared" si="7"/>
        <v>#NUM!</v>
      </c>
      <c r="M53" s="16" t="e">
        <f t="shared" si="52"/>
        <v>#NUM!</v>
      </c>
      <c r="N53" s="16" t="e">
        <f t="shared" si="15"/>
        <v>#NUM!</v>
      </c>
      <c r="O53" s="16" t="e">
        <f t="shared" si="16"/>
        <v>#NUM!</v>
      </c>
      <c r="P53" s="16" t="e">
        <f t="shared" si="9"/>
        <v>#VALUE!</v>
      </c>
      <c r="Q53" s="16" t="e">
        <f t="shared" si="53"/>
        <v>#NUM!</v>
      </c>
      <c r="R53" s="16" t="e">
        <f t="shared" si="11"/>
        <v>#NUM!</v>
      </c>
      <c r="S53" s="16" t="e">
        <f t="shared" si="12"/>
        <v>#NUM!</v>
      </c>
      <c r="T53" s="16" t="e">
        <f t="shared" si="13"/>
        <v>#NUM!</v>
      </c>
      <c r="U53" s="16"/>
      <c r="V53" s="16">
        <f t="shared" si="50"/>
        <v>0</v>
      </c>
      <c r="W53" s="16" t="e">
        <f t="shared" ref="W53:AQ53" si="65">9.81/(2*PI())*$E$9^2*TANH(2*PI()*$H53/V53)</f>
        <v>#DIV/0!</v>
      </c>
      <c r="X53" s="16" t="e">
        <f t="shared" si="65"/>
        <v>#DIV/0!</v>
      </c>
      <c r="Y53" s="16" t="e">
        <f t="shared" si="65"/>
        <v>#DIV/0!</v>
      </c>
      <c r="Z53" s="16" t="e">
        <f t="shared" si="65"/>
        <v>#DIV/0!</v>
      </c>
      <c r="AA53" s="16" t="e">
        <f t="shared" si="65"/>
        <v>#DIV/0!</v>
      </c>
      <c r="AB53" s="16" t="e">
        <f t="shared" si="65"/>
        <v>#DIV/0!</v>
      </c>
      <c r="AC53" s="16" t="e">
        <f t="shared" si="65"/>
        <v>#DIV/0!</v>
      </c>
      <c r="AD53" s="16" t="e">
        <f t="shared" si="65"/>
        <v>#DIV/0!</v>
      </c>
      <c r="AE53" s="16" t="e">
        <f t="shared" si="65"/>
        <v>#DIV/0!</v>
      </c>
      <c r="AF53" s="16" t="e">
        <f t="shared" si="65"/>
        <v>#DIV/0!</v>
      </c>
      <c r="AG53" s="16" t="e">
        <f t="shared" si="65"/>
        <v>#DIV/0!</v>
      </c>
      <c r="AH53" s="16" t="e">
        <f t="shared" si="65"/>
        <v>#DIV/0!</v>
      </c>
      <c r="AI53" s="16" t="e">
        <f t="shared" si="65"/>
        <v>#DIV/0!</v>
      </c>
      <c r="AJ53" s="16" t="e">
        <f t="shared" si="65"/>
        <v>#DIV/0!</v>
      </c>
      <c r="AK53" s="16" t="e">
        <f t="shared" si="65"/>
        <v>#DIV/0!</v>
      </c>
      <c r="AL53" s="16" t="e">
        <f t="shared" si="65"/>
        <v>#DIV/0!</v>
      </c>
      <c r="AM53" s="16" t="e">
        <f t="shared" si="65"/>
        <v>#DIV/0!</v>
      </c>
      <c r="AN53" s="16" t="e">
        <f t="shared" si="65"/>
        <v>#DIV/0!</v>
      </c>
      <c r="AO53" s="16" t="e">
        <f t="shared" si="65"/>
        <v>#DIV/0!</v>
      </c>
      <c r="AP53" s="16" t="e">
        <f t="shared" si="65"/>
        <v>#DIV/0!</v>
      </c>
      <c r="AQ53" s="16" t="e">
        <f t="shared" si="65"/>
        <v>#DIV/0!</v>
      </c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</row>
    <row r="54" spans="1:54" customFormat="1">
      <c r="A54" s="23">
        <v>23.7</v>
      </c>
      <c r="B54" s="16">
        <v>0.63100000000000001</v>
      </c>
      <c r="H54" s="21">
        <f t="shared" si="5"/>
        <v>0</v>
      </c>
      <c r="I54" s="21">
        <f t="shared" si="49"/>
        <v>0</v>
      </c>
      <c r="J54" s="22" t="str">
        <f t="shared" si="34"/>
        <v xml:space="preserve"> </v>
      </c>
      <c r="K54" s="22" t="str">
        <f t="shared" si="35"/>
        <v xml:space="preserve"> </v>
      </c>
      <c r="L54" s="16" t="e">
        <f t="shared" si="7"/>
        <v>#NUM!</v>
      </c>
      <c r="M54" s="16" t="e">
        <f t="shared" si="52"/>
        <v>#NUM!</v>
      </c>
      <c r="N54" s="16" t="e">
        <f t="shared" si="15"/>
        <v>#NUM!</v>
      </c>
      <c r="O54" s="16" t="e">
        <f t="shared" si="16"/>
        <v>#NUM!</v>
      </c>
      <c r="P54" s="16" t="e">
        <f t="shared" si="9"/>
        <v>#VALUE!</v>
      </c>
      <c r="Q54" s="16" t="e">
        <f t="shared" si="53"/>
        <v>#NUM!</v>
      </c>
      <c r="R54" s="16" t="e">
        <f t="shared" si="11"/>
        <v>#NUM!</v>
      </c>
      <c r="S54" s="16" t="e">
        <f t="shared" si="12"/>
        <v>#NUM!</v>
      </c>
      <c r="T54" s="16" t="e">
        <f t="shared" si="13"/>
        <v>#NUM!</v>
      </c>
      <c r="U54" s="16"/>
      <c r="V54" s="16">
        <f t="shared" si="50"/>
        <v>0</v>
      </c>
      <c r="W54" s="16" t="e">
        <f t="shared" ref="W54:AQ54" si="66">9.81/(2*PI())*$E$9^2*TANH(2*PI()*$H54/V54)</f>
        <v>#DIV/0!</v>
      </c>
      <c r="X54" s="16" t="e">
        <f t="shared" si="66"/>
        <v>#DIV/0!</v>
      </c>
      <c r="Y54" s="16" t="e">
        <f t="shared" si="66"/>
        <v>#DIV/0!</v>
      </c>
      <c r="Z54" s="16" t="e">
        <f t="shared" si="66"/>
        <v>#DIV/0!</v>
      </c>
      <c r="AA54" s="16" t="e">
        <f t="shared" si="66"/>
        <v>#DIV/0!</v>
      </c>
      <c r="AB54" s="16" t="e">
        <f t="shared" si="66"/>
        <v>#DIV/0!</v>
      </c>
      <c r="AC54" s="16" t="e">
        <f t="shared" si="66"/>
        <v>#DIV/0!</v>
      </c>
      <c r="AD54" s="16" t="e">
        <f t="shared" si="66"/>
        <v>#DIV/0!</v>
      </c>
      <c r="AE54" s="16" t="e">
        <f t="shared" si="66"/>
        <v>#DIV/0!</v>
      </c>
      <c r="AF54" s="16" t="e">
        <f t="shared" si="66"/>
        <v>#DIV/0!</v>
      </c>
      <c r="AG54" s="16" t="e">
        <f t="shared" si="66"/>
        <v>#DIV/0!</v>
      </c>
      <c r="AH54" s="16" t="e">
        <f t="shared" si="66"/>
        <v>#DIV/0!</v>
      </c>
      <c r="AI54" s="16" t="e">
        <f t="shared" si="66"/>
        <v>#DIV/0!</v>
      </c>
      <c r="AJ54" s="16" t="e">
        <f t="shared" si="66"/>
        <v>#DIV/0!</v>
      </c>
      <c r="AK54" s="16" t="e">
        <f t="shared" si="66"/>
        <v>#DIV/0!</v>
      </c>
      <c r="AL54" s="16" t="e">
        <f t="shared" si="66"/>
        <v>#DIV/0!</v>
      </c>
      <c r="AM54" s="16" t="e">
        <f t="shared" si="66"/>
        <v>#DIV/0!</v>
      </c>
      <c r="AN54" s="16" t="e">
        <f t="shared" si="66"/>
        <v>#DIV/0!</v>
      </c>
      <c r="AO54" s="16" t="e">
        <f t="shared" si="66"/>
        <v>#DIV/0!</v>
      </c>
      <c r="AP54" s="16" t="e">
        <f t="shared" si="66"/>
        <v>#DIV/0!</v>
      </c>
      <c r="AQ54" s="16" t="e">
        <f t="shared" si="66"/>
        <v>#DIV/0!</v>
      </c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</row>
    <row r="55" spans="1:54" customFormat="1">
      <c r="A55" s="23">
        <v>20.3</v>
      </c>
      <c r="B55" s="16">
        <v>0.77200000000000002</v>
      </c>
      <c r="H55" s="21">
        <f t="shared" si="5"/>
        <v>0</v>
      </c>
      <c r="I55" s="21">
        <f t="shared" si="49"/>
        <v>0</v>
      </c>
      <c r="J55" s="22" t="str">
        <f t="shared" si="34"/>
        <v xml:space="preserve"> </v>
      </c>
      <c r="K55" s="22" t="str">
        <f t="shared" si="35"/>
        <v xml:space="preserve"> </v>
      </c>
      <c r="L55" s="16" t="e">
        <f t="shared" si="7"/>
        <v>#NUM!</v>
      </c>
      <c r="M55" s="16" t="e">
        <f t="shared" si="52"/>
        <v>#NUM!</v>
      </c>
      <c r="N55" s="16" t="e">
        <f t="shared" si="15"/>
        <v>#NUM!</v>
      </c>
      <c r="O55" s="16" t="e">
        <f t="shared" si="16"/>
        <v>#NUM!</v>
      </c>
      <c r="P55" s="16" t="e">
        <f t="shared" si="9"/>
        <v>#VALUE!</v>
      </c>
      <c r="Q55" s="16" t="e">
        <f t="shared" si="53"/>
        <v>#NUM!</v>
      </c>
      <c r="R55" s="16" t="e">
        <f t="shared" si="11"/>
        <v>#NUM!</v>
      </c>
      <c r="S55" s="16" t="e">
        <f t="shared" si="12"/>
        <v>#NUM!</v>
      </c>
      <c r="T55" s="16" t="e">
        <f t="shared" si="13"/>
        <v>#NUM!</v>
      </c>
      <c r="U55" s="16"/>
      <c r="V55" s="16">
        <f t="shared" si="50"/>
        <v>0</v>
      </c>
      <c r="W55" s="16" t="e">
        <f t="shared" ref="W55:AQ55" si="67">9.81/(2*PI())*$E$9^2*TANH(2*PI()*$H55/V55)</f>
        <v>#DIV/0!</v>
      </c>
      <c r="X55" s="16" t="e">
        <f t="shared" si="67"/>
        <v>#DIV/0!</v>
      </c>
      <c r="Y55" s="16" t="e">
        <f t="shared" si="67"/>
        <v>#DIV/0!</v>
      </c>
      <c r="Z55" s="16" t="e">
        <f t="shared" si="67"/>
        <v>#DIV/0!</v>
      </c>
      <c r="AA55" s="16" t="e">
        <f t="shared" si="67"/>
        <v>#DIV/0!</v>
      </c>
      <c r="AB55" s="16" t="e">
        <f t="shared" si="67"/>
        <v>#DIV/0!</v>
      </c>
      <c r="AC55" s="16" t="e">
        <f t="shared" si="67"/>
        <v>#DIV/0!</v>
      </c>
      <c r="AD55" s="16" t="e">
        <f t="shared" si="67"/>
        <v>#DIV/0!</v>
      </c>
      <c r="AE55" s="16" t="e">
        <f t="shared" si="67"/>
        <v>#DIV/0!</v>
      </c>
      <c r="AF55" s="16" t="e">
        <f t="shared" si="67"/>
        <v>#DIV/0!</v>
      </c>
      <c r="AG55" s="16" t="e">
        <f t="shared" si="67"/>
        <v>#DIV/0!</v>
      </c>
      <c r="AH55" s="16" t="e">
        <f t="shared" si="67"/>
        <v>#DIV/0!</v>
      </c>
      <c r="AI55" s="16" t="e">
        <f t="shared" si="67"/>
        <v>#DIV/0!</v>
      </c>
      <c r="AJ55" s="16" t="e">
        <f t="shared" si="67"/>
        <v>#DIV/0!</v>
      </c>
      <c r="AK55" s="16" t="e">
        <f t="shared" si="67"/>
        <v>#DIV/0!</v>
      </c>
      <c r="AL55" s="16" t="e">
        <f t="shared" si="67"/>
        <v>#DIV/0!</v>
      </c>
      <c r="AM55" s="16" t="e">
        <f t="shared" si="67"/>
        <v>#DIV/0!</v>
      </c>
      <c r="AN55" s="16" t="e">
        <f t="shared" si="67"/>
        <v>#DIV/0!</v>
      </c>
      <c r="AO55" s="16" t="e">
        <f t="shared" si="67"/>
        <v>#DIV/0!</v>
      </c>
      <c r="AP55" s="16" t="e">
        <f t="shared" si="67"/>
        <v>#DIV/0!</v>
      </c>
      <c r="AQ55" s="16" t="e">
        <f t="shared" si="67"/>
        <v>#DIV/0!</v>
      </c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</row>
    <row r="56" spans="1:54" customFormat="1">
      <c r="A56" s="23">
        <v>16.3</v>
      </c>
      <c r="B56" s="16">
        <v>0.97599999999999998</v>
      </c>
      <c r="H56" s="21">
        <f t="shared" si="5"/>
        <v>0</v>
      </c>
      <c r="I56" s="21">
        <f t="shared" si="49"/>
        <v>0</v>
      </c>
      <c r="J56" s="22" t="str">
        <f t="shared" si="34"/>
        <v xml:space="preserve"> </v>
      </c>
      <c r="K56" s="22" t="str">
        <f t="shared" si="35"/>
        <v xml:space="preserve"> </v>
      </c>
      <c r="L56" s="16" t="e">
        <f t="shared" si="7"/>
        <v>#NUM!</v>
      </c>
      <c r="M56" s="16" t="e">
        <f t="shared" si="52"/>
        <v>#NUM!</v>
      </c>
      <c r="N56" s="16" t="e">
        <f t="shared" si="15"/>
        <v>#NUM!</v>
      </c>
      <c r="O56" s="16" t="e">
        <f t="shared" si="16"/>
        <v>#NUM!</v>
      </c>
      <c r="P56" s="16" t="e">
        <f t="shared" si="9"/>
        <v>#VALUE!</v>
      </c>
      <c r="Q56" s="16" t="e">
        <f t="shared" si="53"/>
        <v>#NUM!</v>
      </c>
      <c r="R56" s="16" t="e">
        <f t="shared" si="11"/>
        <v>#NUM!</v>
      </c>
      <c r="S56" s="16" t="e">
        <f t="shared" si="12"/>
        <v>#NUM!</v>
      </c>
      <c r="T56" s="16" t="e">
        <f t="shared" si="13"/>
        <v>#NUM!</v>
      </c>
      <c r="U56" s="16"/>
      <c r="V56" s="16">
        <f t="shared" si="50"/>
        <v>0</v>
      </c>
      <c r="W56" s="16" t="e">
        <f t="shared" ref="W56:AQ56" si="68">9.81/(2*PI())*$E$9^2*TANH(2*PI()*$H56/V56)</f>
        <v>#DIV/0!</v>
      </c>
      <c r="X56" s="16" t="e">
        <f t="shared" si="68"/>
        <v>#DIV/0!</v>
      </c>
      <c r="Y56" s="16" t="e">
        <f t="shared" si="68"/>
        <v>#DIV/0!</v>
      </c>
      <c r="Z56" s="16" t="e">
        <f t="shared" si="68"/>
        <v>#DIV/0!</v>
      </c>
      <c r="AA56" s="16" t="e">
        <f t="shared" si="68"/>
        <v>#DIV/0!</v>
      </c>
      <c r="AB56" s="16" t="e">
        <f t="shared" si="68"/>
        <v>#DIV/0!</v>
      </c>
      <c r="AC56" s="16" t="e">
        <f t="shared" si="68"/>
        <v>#DIV/0!</v>
      </c>
      <c r="AD56" s="16" t="e">
        <f t="shared" si="68"/>
        <v>#DIV/0!</v>
      </c>
      <c r="AE56" s="16" t="e">
        <f t="shared" si="68"/>
        <v>#DIV/0!</v>
      </c>
      <c r="AF56" s="16" t="e">
        <f t="shared" si="68"/>
        <v>#DIV/0!</v>
      </c>
      <c r="AG56" s="16" t="e">
        <f t="shared" si="68"/>
        <v>#DIV/0!</v>
      </c>
      <c r="AH56" s="16" t="e">
        <f t="shared" si="68"/>
        <v>#DIV/0!</v>
      </c>
      <c r="AI56" s="16" t="e">
        <f t="shared" si="68"/>
        <v>#DIV/0!</v>
      </c>
      <c r="AJ56" s="16" t="e">
        <f t="shared" si="68"/>
        <v>#DIV/0!</v>
      </c>
      <c r="AK56" s="16" t="e">
        <f t="shared" si="68"/>
        <v>#DIV/0!</v>
      </c>
      <c r="AL56" s="16" t="e">
        <f t="shared" si="68"/>
        <v>#DIV/0!</v>
      </c>
      <c r="AM56" s="16" t="e">
        <f t="shared" si="68"/>
        <v>#DIV/0!</v>
      </c>
      <c r="AN56" s="16" t="e">
        <f t="shared" si="68"/>
        <v>#DIV/0!</v>
      </c>
      <c r="AO56" s="16" t="e">
        <f t="shared" si="68"/>
        <v>#DIV/0!</v>
      </c>
      <c r="AP56" s="16" t="e">
        <f t="shared" si="68"/>
        <v>#DIV/0!</v>
      </c>
      <c r="AQ56" s="16" t="e">
        <f t="shared" si="68"/>
        <v>#DIV/0!</v>
      </c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</row>
    <row r="57" spans="1:54" customFormat="1">
      <c r="A57" s="23">
        <v>11.3</v>
      </c>
      <c r="B57" s="16">
        <v>1.27</v>
      </c>
      <c r="H57" s="21">
        <f t="shared" si="5"/>
        <v>0</v>
      </c>
      <c r="I57" s="21">
        <f t="shared" si="49"/>
        <v>0</v>
      </c>
      <c r="J57" s="22" t="str">
        <f t="shared" si="34"/>
        <v xml:space="preserve"> </v>
      </c>
      <c r="K57" s="22" t="str">
        <f t="shared" si="35"/>
        <v xml:space="preserve"> </v>
      </c>
      <c r="L57" s="16" t="e">
        <f t="shared" si="7"/>
        <v>#NUM!</v>
      </c>
      <c r="M57" s="16" t="e">
        <f t="shared" si="52"/>
        <v>#NUM!</v>
      </c>
      <c r="N57" s="16" t="e">
        <f t="shared" si="15"/>
        <v>#NUM!</v>
      </c>
      <c r="O57" s="16" t="e">
        <f t="shared" si="16"/>
        <v>#NUM!</v>
      </c>
      <c r="P57" s="16" t="e">
        <f t="shared" si="9"/>
        <v>#VALUE!</v>
      </c>
      <c r="Q57" s="16" t="e">
        <f t="shared" si="53"/>
        <v>#NUM!</v>
      </c>
      <c r="R57" s="16" t="e">
        <f t="shared" si="11"/>
        <v>#NUM!</v>
      </c>
      <c r="S57" s="16" t="e">
        <f t="shared" si="12"/>
        <v>#NUM!</v>
      </c>
      <c r="T57" s="16" t="e">
        <f t="shared" si="13"/>
        <v>#NUM!</v>
      </c>
      <c r="U57" s="16"/>
      <c r="V57" s="16">
        <f t="shared" si="50"/>
        <v>0</v>
      </c>
      <c r="W57" s="16" t="e">
        <f t="shared" ref="W57:AQ57" si="69">9.81/(2*PI())*$E$9^2*TANH(2*PI()*$H57/V57)</f>
        <v>#DIV/0!</v>
      </c>
      <c r="X57" s="16" t="e">
        <f t="shared" si="69"/>
        <v>#DIV/0!</v>
      </c>
      <c r="Y57" s="16" t="e">
        <f t="shared" si="69"/>
        <v>#DIV/0!</v>
      </c>
      <c r="Z57" s="16" t="e">
        <f t="shared" si="69"/>
        <v>#DIV/0!</v>
      </c>
      <c r="AA57" s="16" t="e">
        <f t="shared" si="69"/>
        <v>#DIV/0!</v>
      </c>
      <c r="AB57" s="16" t="e">
        <f t="shared" si="69"/>
        <v>#DIV/0!</v>
      </c>
      <c r="AC57" s="16" t="e">
        <f t="shared" si="69"/>
        <v>#DIV/0!</v>
      </c>
      <c r="AD57" s="16" t="e">
        <f t="shared" si="69"/>
        <v>#DIV/0!</v>
      </c>
      <c r="AE57" s="16" t="e">
        <f t="shared" si="69"/>
        <v>#DIV/0!</v>
      </c>
      <c r="AF57" s="16" t="e">
        <f t="shared" si="69"/>
        <v>#DIV/0!</v>
      </c>
      <c r="AG57" s="16" t="e">
        <f t="shared" si="69"/>
        <v>#DIV/0!</v>
      </c>
      <c r="AH57" s="16" t="e">
        <f t="shared" si="69"/>
        <v>#DIV/0!</v>
      </c>
      <c r="AI57" s="16" t="e">
        <f t="shared" si="69"/>
        <v>#DIV/0!</v>
      </c>
      <c r="AJ57" s="16" t="e">
        <f t="shared" si="69"/>
        <v>#DIV/0!</v>
      </c>
      <c r="AK57" s="16" t="e">
        <f t="shared" si="69"/>
        <v>#DIV/0!</v>
      </c>
      <c r="AL57" s="16" t="e">
        <f t="shared" si="69"/>
        <v>#DIV/0!</v>
      </c>
      <c r="AM57" s="16" t="e">
        <f t="shared" si="69"/>
        <v>#DIV/0!</v>
      </c>
      <c r="AN57" s="16" t="e">
        <f t="shared" si="69"/>
        <v>#DIV/0!</v>
      </c>
      <c r="AO57" s="16" t="e">
        <f t="shared" si="69"/>
        <v>#DIV/0!</v>
      </c>
      <c r="AP57" s="16" t="e">
        <f t="shared" si="69"/>
        <v>#DIV/0!</v>
      </c>
      <c r="AQ57" s="16" t="e">
        <f t="shared" si="69"/>
        <v>#DIV/0!</v>
      </c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</row>
    <row r="58" spans="1:54" customFormat="1">
      <c r="A58" s="23">
        <v>7.8</v>
      </c>
      <c r="B58" s="16">
        <v>1.5489999999999999</v>
      </c>
      <c r="H58" s="21">
        <f t="shared" si="5"/>
        <v>0</v>
      </c>
      <c r="I58" s="21">
        <f t="shared" si="49"/>
        <v>0</v>
      </c>
      <c r="J58" s="22" t="str">
        <f t="shared" si="34"/>
        <v xml:space="preserve"> </v>
      </c>
      <c r="K58" s="22" t="str">
        <f t="shared" si="35"/>
        <v xml:space="preserve"> </v>
      </c>
      <c r="L58" s="16" t="e">
        <f t="shared" si="7"/>
        <v>#NUM!</v>
      </c>
      <c r="M58" s="16" t="e">
        <f t="shared" si="52"/>
        <v>#NUM!</v>
      </c>
      <c r="N58" s="16" t="e">
        <f t="shared" si="15"/>
        <v>#NUM!</v>
      </c>
      <c r="O58" s="16" t="e">
        <f t="shared" si="16"/>
        <v>#NUM!</v>
      </c>
      <c r="P58" s="16" t="e">
        <f t="shared" si="9"/>
        <v>#VALUE!</v>
      </c>
      <c r="Q58" s="16" t="e">
        <f t="shared" si="53"/>
        <v>#NUM!</v>
      </c>
      <c r="R58" s="16" t="e">
        <f t="shared" si="11"/>
        <v>#NUM!</v>
      </c>
      <c r="S58" s="16" t="e">
        <f t="shared" si="12"/>
        <v>#NUM!</v>
      </c>
      <c r="T58" s="16" t="e">
        <f t="shared" si="13"/>
        <v>#NUM!</v>
      </c>
      <c r="U58" s="16"/>
      <c r="V58" s="16">
        <f t="shared" si="50"/>
        <v>0</v>
      </c>
      <c r="W58" s="16" t="e">
        <f t="shared" ref="W58:AQ58" si="70">9.81/(2*PI())*$E$9^2*TANH(2*PI()*$H58/V58)</f>
        <v>#DIV/0!</v>
      </c>
      <c r="X58" s="16" t="e">
        <f t="shared" si="70"/>
        <v>#DIV/0!</v>
      </c>
      <c r="Y58" s="16" t="e">
        <f t="shared" si="70"/>
        <v>#DIV/0!</v>
      </c>
      <c r="Z58" s="16" t="e">
        <f t="shared" si="70"/>
        <v>#DIV/0!</v>
      </c>
      <c r="AA58" s="16" t="e">
        <f t="shared" si="70"/>
        <v>#DIV/0!</v>
      </c>
      <c r="AB58" s="16" t="e">
        <f t="shared" si="70"/>
        <v>#DIV/0!</v>
      </c>
      <c r="AC58" s="16" t="e">
        <f t="shared" si="70"/>
        <v>#DIV/0!</v>
      </c>
      <c r="AD58" s="16" t="e">
        <f t="shared" si="70"/>
        <v>#DIV/0!</v>
      </c>
      <c r="AE58" s="16" t="e">
        <f t="shared" si="70"/>
        <v>#DIV/0!</v>
      </c>
      <c r="AF58" s="16" t="e">
        <f t="shared" si="70"/>
        <v>#DIV/0!</v>
      </c>
      <c r="AG58" s="16" t="e">
        <f t="shared" si="70"/>
        <v>#DIV/0!</v>
      </c>
      <c r="AH58" s="16" t="e">
        <f t="shared" si="70"/>
        <v>#DIV/0!</v>
      </c>
      <c r="AI58" s="16" t="e">
        <f t="shared" si="70"/>
        <v>#DIV/0!</v>
      </c>
      <c r="AJ58" s="16" t="e">
        <f t="shared" si="70"/>
        <v>#DIV/0!</v>
      </c>
      <c r="AK58" s="16" t="e">
        <f t="shared" si="70"/>
        <v>#DIV/0!</v>
      </c>
      <c r="AL58" s="16" t="e">
        <f t="shared" si="70"/>
        <v>#DIV/0!</v>
      </c>
      <c r="AM58" s="16" t="e">
        <f t="shared" si="70"/>
        <v>#DIV/0!</v>
      </c>
      <c r="AN58" s="16" t="e">
        <f t="shared" si="70"/>
        <v>#DIV/0!</v>
      </c>
      <c r="AO58" s="16" t="e">
        <f t="shared" si="70"/>
        <v>#DIV/0!</v>
      </c>
      <c r="AP58" s="16" t="e">
        <f t="shared" si="70"/>
        <v>#DIV/0!</v>
      </c>
      <c r="AQ58" s="16" t="e">
        <f t="shared" si="70"/>
        <v>#DIV/0!</v>
      </c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</row>
    <row r="59" spans="1:54" customFormat="1">
      <c r="A59" s="23">
        <v>3.6</v>
      </c>
      <c r="B59" s="16">
        <v>1.819</v>
      </c>
      <c r="H59" s="21">
        <f t="shared" si="5"/>
        <v>0</v>
      </c>
      <c r="I59" s="21">
        <f t="shared" si="49"/>
        <v>0</v>
      </c>
      <c r="J59" s="22" t="str">
        <f t="shared" si="34"/>
        <v xml:space="preserve"> </v>
      </c>
      <c r="K59" s="22" t="str">
        <f t="shared" si="35"/>
        <v xml:space="preserve"> </v>
      </c>
      <c r="L59" s="16" t="e">
        <f t="shared" si="7"/>
        <v>#NUM!</v>
      </c>
      <c r="M59" s="16" t="e">
        <f t="shared" si="52"/>
        <v>#NUM!</v>
      </c>
      <c r="N59" s="16" t="e">
        <f t="shared" si="15"/>
        <v>#NUM!</v>
      </c>
      <c r="O59" s="16" t="e">
        <f t="shared" si="16"/>
        <v>#NUM!</v>
      </c>
      <c r="P59" s="16" t="e">
        <f t="shared" si="9"/>
        <v>#VALUE!</v>
      </c>
      <c r="Q59" s="16" t="e">
        <f t="shared" si="53"/>
        <v>#NUM!</v>
      </c>
      <c r="R59" s="16" t="e">
        <f t="shared" si="11"/>
        <v>#NUM!</v>
      </c>
      <c r="S59" s="16" t="e">
        <f t="shared" si="12"/>
        <v>#NUM!</v>
      </c>
      <c r="T59" s="16" t="e">
        <f t="shared" si="13"/>
        <v>#NUM!</v>
      </c>
      <c r="U59" s="16"/>
      <c r="V59" s="16">
        <f t="shared" si="50"/>
        <v>0</v>
      </c>
      <c r="W59" s="16" t="e">
        <f t="shared" ref="W59:AQ59" si="71">9.81/(2*PI())*$E$9^2*TANH(2*PI()*$H59/V59)</f>
        <v>#DIV/0!</v>
      </c>
      <c r="X59" s="16" t="e">
        <f t="shared" si="71"/>
        <v>#DIV/0!</v>
      </c>
      <c r="Y59" s="16" t="e">
        <f t="shared" si="71"/>
        <v>#DIV/0!</v>
      </c>
      <c r="Z59" s="16" t="e">
        <f t="shared" si="71"/>
        <v>#DIV/0!</v>
      </c>
      <c r="AA59" s="16" t="e">
        <f t="shared" si="71"/>
        <v>#DIV/0!</v>
      </c>
      <c r="AB59" s="16" t="e">
        <f t="shared" si="71"/>
        <v>#DIV/0!</v>
      </c>
      <c r="AC59" s="16" t="e">
        <f t="shared" si="71"/>
        <v>#DIV/0!</v>
      </c>
      <c r="AD59" s="16" t="e">
        <f t="shared" si="71"/>
        <v>#DIV/0!</v>
      </c>
      <c r="AE59" s="16" t="e">
        <f t="shared" si="71"/>
        <v>#DIV/0!</v>
      </c>
      <c r="AF59" s="16" t="e">
        <f t="shared" si="71"/>
        <v>#DIV/0!</v>
      </c>
      <c r="AG59" s="16" t="e">
        <f t="shared" si="71"/>
        <v>#DIV/0!</v>
      </c>
      <c r="AH59" s="16" t="e">
        <f t="shared" si="71"/>
        <v>#DIV/0!</v>
      </c>
      <c r="AI59" s="16" t="e">
        <f t="shared" si="71"/>
        <v>#DIV/0!</v>
      </c>
      <c r="AJ59" s="16" t="e">
        <f t="shared" si="71"/>
        <v>#DIV/0!</v>
      </c>
      <c r="AK59" s="16" t="e">
        <f t="shared" si="71"/>
        <v>#DIV/0!</v>
      </c>
      <c r="AL59" s="16" t="e">
        <f t="shared" si="71"/>
        <v>#DIV/0!</v>
      </c>
      <c r="AM59" s="16" t="e">
        <f t="shared" si="71"/>
        <v>#DIV/0!</v>
      </c>
      <c r="AN59" s="16" t="e">
        <f t="shared" si="71"/>
        <v>#DIV/0!</v>
      </c>
      <c r="AO59" s="16" t="e">
        <f t="shared" si="71"/>
        <v>#DIV/0!</v>
      </c>
      <c r="AP59" s="16" t="e">
        <f t="shared" si="71"/>
        <v>#DIV/0!</v>
      </c>
      <c r="AQ59" s="16" t="e">
        <f t="shared" si="71"/>
        <v>#DIV/0!</v>
      </c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</row>
    <row r="60" spans="1:54" customFormat="1">
      <c r="A60" s="23">
        <v>1.8999999999999897</v>
      </c>
      <c r="B60" s="16">
        <v>2.0579999999999998</v>
      </c>
      <c r="H60" s="21">
        <f t="shared" si="5"/>
        <v>0</v>
      </c>
      <c r="I60" s="21">
        <f t="shared" si="49"/>
        <v>0</v>
      </c>
      <c r="J60" s="22" t="str">
        <f t="shared" si="34"/>
        <v xml:space="preserve"> </v>
      </c>
      <c r="K60" s="22" t="str">
        <f t="shared" si="35"/>
        <v xml:space="preserve"> </v>
      </c>
      <c r="L60" s="16" t="e">
        <f t="shared" si="7"/>
        <v>#NUM!</v>
      </c>
      <c r="M60" s="16" t="e">
        <f t="shared" si="52"/>
        <v>#NUM!</v>
      </c>
      <c r="N60" s="16" t="e">
        <f t="shared" si="15"/>
        <v>#NUM!</v>
      </c>
      <c r="O60" s="16" t="e">
        <f t="shared" si="16"/>
        <v>#NUM!</v>
      </c>
      <c r="P60" s="16" t="e">
        <f t="shared" si="9"/>
        <v>#VALUE!</v>
      </c>
      <c r="Q60" s="16" t="e">
        <f t="shared" si="53"/>
        <v>#NUM!</v>
      </c>
      <c r="R60" s="16" t="e">
        <f t="shared" si="11"/>
        <v>#NUM!</v>
      </c>
      <c r="S60" s="16" t="e">
        <f t="shared" si="12"/>
        <v>#NUM!</v>
      </c>
      <c r="T60" s="16" t="e">
        <f t="shared" si="13"/>
        <v>#NUM!</v>
      </c>
      <c r="U60" s="16"/>
      <c r="V60" s="16">
        <f t="shared" si="50"/>
        <v>0</v>
      </c>
      <c r="W60" s="16" t="e">
        <f t="shared" ref="W60:AQ60" si="72">9.81/(2*PI())*$E$9^2*TANH(2*PI()*$H60/V60)</f>
        <v>#DIV/0!</v>
      </c>
      <c r="X60" s="16" t="e">
        <f t="shared" si="72"/>
        <v>#DIV/0!</v>
      </c>
      <c r="Y60" s="16" t="e">
        <f t="shared" si="72"/>
        <v>#DIV/0!</v>
      </c>
      <c r="Z60" s="16" t="e">
        <f t="shared" si="72"/>
        <v>#DIV/0!</v>
      </c>
      <c r="AA60" s="16" t="e">
        <f t="shared" si="72"/>
        <v>#DIV/0!</v>
      </c>
      <c r="AB60" s="16" t="e">
        <f t="shared" si="72"/>
        <v>#DIV/0!</v>
      </c>
      <c r="AC60" s="16" t="e">
        <f t="shared" si="72"/>
        <v>#DIV/0!</v>
      </c>
      <c r="AD60" s="16" t="e">
        <f t="shared" si="72"/>
        <v>#DIV/0!</v>
      </c>
      <c r="AE60" s="16" t="e">
        <f t="shared" si="72"/>
        <v>#DIV/0!</v>
      </c>
      <c r="AF60" s="16" t="e">
        <f t="shared" si="72"/>
        <v>#DIV/0!</v>
      </c>
      <c r="AG60" s="16" t="e">
        <f t="shared" si="72"/>
        <v>#DIV/0!</v>
      </c>
      <c r="AH60" s="16" t="e">
        <f t="shared" si="72"/>
        <v>#DIV/0!</v>
      </c>
      <c r="AI60" s="16" t="e">
        <f t="shared" si="72"/>
        <v>#DIV/0!</v>
      </c>
      <c r="AJ60" s="16" t="e">
        <f t="shared" si="72"/>
        <v>#DIV/0!</v>
      </c>
      <c r="AK60" s="16" t="e">
        <f t="shared" si="72"/>
        <v>#DIV/0!</v>
      </c>
      <c r="AL60" s="16" t="e">
        <f t="shared" si="72"/>
        <v>#DIV/0!</v>
      </c>
      <c r="AM60" s="16" t="e">
        <f t="shared" si="72"/>
        <v>#DIV/0!</v>
      </c>
      <c r="AN60" s="16" t="e">
        <f t="shared" si="72"/>
        <v>#DIV/0!</v>
      </c>
      <c r="AO60" s="16" t="e">
        <f t="shared" si="72"/>
        <v>#DIV/0!</v>
      </c>
      <c r="AP60" s="16" t="e">
        <f t="shared" si="72"/>
        <v>#DIV/0!</v>
      </c>
      <c r="AQ60" s="16" t="e">
        <f t="shared" si="72"/>
        <v>#DIV/0!</v>
      </c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</row>
    <row r="61" spans="1:54" customFormat="1">
      <c r="A61" s="16">
        <v>0</v>
      </c>
      <c r="B61" s="16">
        <v>2.2999999999999998</v>
      </c>
      <c r="H61" s="21">
        <f t="shared" si="5"/>
        <v>0</v>
      </c>
      <c r="I61" s="21">
        <f t="shared" si="49"/>
        <v>0</v>
      </c>
      <c r="J61" s="22" t="str">
        <f t="shared" si="34"/>
        <v xml:space="preserve"> </v>
      </c>
      <c r="K61" s="22" t="str">
        <f t="shared" si="35"/>
        <v xml:space="preserve"> </v>
      </c>
      <c r="L61" s="16" t="e">
        <f t="shared" si="7"/>
        <v>#NUM!</v>
      </c>
      <c r="M61" s="16" t="e">
        <f t="shared" si="52"/>
        <v>#NUM!</v>
      </c>
      <c r="N61" s="16" t="e">
        <f t="shared" si="15"/>
        <v>#NUM!</v>
      </c>
      <c r="O61" s="16" t="e">
        <f t="shared" si="16"/>
        <v>#NUM!</v>
      </c>
      <c r="P61" s="16" t="e">
        <f t="shared" si="9"/>
        <v>#VALUE!</v>
      </c>
      <c r="Q61" s="16" t="e">
        <f t="shared" si="53"/>
        <v>#NUM!</v>
      </c>
      <c r="R61" s="16" t="e">
        <f t="shared" si="11"/>
        <v>#NUM!</v>
      </c>
      <c r="S61" s="16" t="e">
        <f t="shared" si="12"/>
        <v>#NUM!</v>
      </c>
      <c r="T61" s="16" t="e">
        <f t="shared" si="13"/>
        <v>#NUM!</v>
      </c>
      <c r="U61" s="16"/>
      <c r="V61" s="16">
        <f t="shared" si="50"/>
        <v>0</v>
      </c>
      <c r="W61" s="16" t="e">
        <f t="shared" ref="W61:AQ61" si="73">9.81/(2*PI())*$E$9^2*TANH(2*PI()*$H61/V61)</f>
        <v>#DIV/0!</v>
      </c>
      <c r="X61" s="16" t="e">
        <f t="shared" si="73"/>
        <v>#DIV/0!</v>
      </c>
      <c r="Y61" s="16" t="e">
        <f t="shared" si="73"/>
        <v>#DIV/0!</v>
      </c>
      <c r="Z61" s="16" t="e">
        <f t="shared" si="73"/>
        <v>#DIV/0!</v>
      </c>
      <c r="AA61" s="16" t="e">
        <f t="shared" si="73"/>
        <v>#DIV/0!</v>
      </c>
      <c r="AB61" s="16" t="e">
        <f t="shared" si="73"/>
        <v>#DIV/0!</v>
      </c>
      <c r="AC61" s="16" t="e">
        <f t="shared" si="73"/>
        <v>#DIV/0!</v>
      </c>
      <c r="AD61" s="16" t="e">
        <f t="shared" si="73"/>
        <v>#DIV/0!</v>
      </c>
      <c r="AE61" s="16" t="e">
        <f t="shared" si="73"/>
        <v>#DIV/0!</v>
      </c>
      <c r="AF61" s="16" t="e">
        <f t="shared" si="73"/>
        <v>#DIV/0!</v>
      </c>
      <c r="AG61" s="16" t="e">
        <f t="shared" si="73"/>
        <v>#DIV/0!</v>
      </c>
      <c r="AH61" s="16" t="e">
        <f t="shared" si="73"/>
        <v>#DIV/0!</v>
      </c>
      <c r="AI61" s="16" t="e">
        <f t="shared" si="73"/>
        <v>#DIV/0!</v>
      </c>
      <c r="AJ61" s="16" t="e">
        <f t="shared" si="73"/>
        <v>#DIV/0!</v>
      </c>
      <c r="AK61" s="16" t="e">
        <f t="shared" si="73"/>
        <v>#DIV/0!</v>
      </c>
      <c r="AL61" s="16" t="e">
        <f t="shared" si="73"/>
        <v>#DIV/0!</v>
      </c>
      <c r="AM61" s="16" t="e">
        <f t="shared" si="73"/>
        <v>#DIV/0!</v>
      </c>
      <c r="AN61" s="16" t="e">
        <f t="shared" si="73"/>
        <v>#DIV/0!</v>
      </c>
      <c r="AO61" s="16" t="e">
        <f t="shared" si="73"/>
        <v>#DIV/0!</v>
      </c>
      <c r="AP61" s="16" t="e">
        <f t="shared" si="73"/>
        <v>#DIV/0!</v>
      </c>
      <c r="AQ61" s="16" t="e">
        <f t="shared" si="73"/>
        <v>#DIV/0!</v>
      </c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</row>
    <row r="62" spans="1:54" customFormat="1">
      <c r="A62" s="2"/>
      <c r="B62" s="3"/>
      <c r="H62" s="21">
        <f t="shared" si="5"/>
        <v>0</v>
      </c>
      <c r="I62" s="21">
        <f t="shared" si="49"/>
        <v>0</v>
      </c>
      <c r="J62" s="22" t="str">
        <f t="shared" si="34"/>
        <v xml:space="preserve"> </v>
      </c>
      <c r="K62" s="22" t="str">
        <f t="shared" si="35"/>
        <v xml:space="preserve"> </v>
      </c>
      <c r="L62" s="16" t="e">
        <f t="shared" si="7"/>
        <v>#NUM!</v>
      </c>
      <c r="M62" s="16" t="e">
        <f t="shared" si="52"/>
        <v>#NUM!</v>
      </c>
      <c r="N62" s="16" t="e">
        <f t="shared" si="15"/>
        <v>#NUM!</v>
      </c>
      <c r="O62" s="16" t="e">
        <f t="shared" si="16"/>
        <v>#NUM!</v>
      </c>
      <c r="P62" s="16" t="e">
        <f t="shared" si="9"/>
        <v>#VALUE!</v>
      </c>
      <c r="Q62" s="16" t="e">
        <f t="shared" si="53"/>
        <v>#NUM!</v>
      </c>
      <c r="R62" s="16" t="e">
        <f t="shared" si="11"/>
        <v>#NUM!</v>
      </c>
      <c r="S62" s="16" t="e">
        <f t="shared" si="12"/>
        <v>#NUM!</v>
      </c>
      <c r="T62" s="16" t="e">
        <f t="shared" si="13"/>
        <v>#NUM!</v>
      </c>
      <c r="U62" s="16"/>
      <c r="V62" s="16">
        <f t="shared" si="50"/>
        <v>0</v>
      </c>
      <c r="W62" s="16" t="e">
        <f t="shared" ref="W62:AQ62" si="74">9.81/(2*PI())*$E$9^2*TANH(2*PI()*$H62/V62)</f>
        <v>#DIV/0!</v>
      </c>
      <c r="X62" s="16" t="e">
        <f t="shared" si="74"/>
        <v>#DIV/0!</v>
      </c>
      <c r="Y62" s="16" t="e">
        <f t="shared" si="74"/>
        <v>#DIV/0!</v>
      </c>
      <c r="Z62" s="16" t="e">
        <f t="shared" si="74"/>
        <v>#DIV/0!</v>
      </c>
      <c r="AA62" s="16" t="e">
        <f t="shared" si="74"/>
        <v>#DIV/0!</v>
      </c>
      <c r="AB62" s="16" t="e">
        <f t="shared" si="74"/>
        <v>#DIV/0!</v>
      </c>
      <c r="AC62" s="16" t="e">
        <f t="shared" si="74"/>
        <v>#DIV/0!</v>
      </c>
      <c r="AD62" s="16" t="e">
        <f t="shared" si="74"/>
        <v>#DIV/0!</v>
      </c>
      <c r="AE62" s="16" t="e">
        <f t="shared" si="74"/>
        <v>#DIV/0!</v>
      </c>
      <c r="AF62" s="16" t="e">
        <f t="shared" si="74"/>
        <v>#DIV/0!</v>
      </c>
      <c r="AG62" s="16" t="e">
        <f t="shared" si="74"/>
        <v>#DIV/0!</v>
      </c>
      <c r="AH62" s="16" t="e">
        <f t="shared" si="74"/>
        <v>#DIV/0!</v>
      </c>
      <c r="AI62" s="16" t="e">
        <f t="shared" si="74"/>
        <v>#DIV/0!</v>
      </c>
      <c r="AJ62" s="16" t="e">
        <f t="shared" si="74"/>
        <v>#DIV/0!</v>
      </c>
      <c r="AK62" s="16" t="e">
        <f t="shared" si="74"/>
        <v>#DIV/0!</v>
      </c>
      <c r="AL62" s="16" t="e">
        <f t="shared" si="74"/>
        <v>#DIV/0!</v>
      </c>
      <c r="AM62" s="16" t="e">
        <f t="shared" si="74"/>
        <v>#DIV/0!</v>
      </c>
      <c r="AN62" s="16" t="e">
        <f t="shared" si="74"/>
        <v>#DIV/0!</v>
      </c>
      <c r="AO62" s="16" t="e">
        <f t="shared" si="74"/>
        <v>#DIV/0!</v>
      </c>
      <c r="AP62" s="16" t="e">
        <f t="shared" si="74"/>
        <v>#DIV/0!</v>
      </c>
      <c r="AQ62" s="16" t="e">
        <f t="shared" si="74"/>
        <v>#DIV/0!</v>
      </c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</row>
    <row r="63" spans="1:54" customFormat="1">
      <c r="A63" s="2"/>
      <c r="B63" s="3"/>
      <c r="H63" s="21">
        <f t="shared" si="5"/>
        <v>0</v>
      </c>
      <c r="I63" s="21">
        <f t="shared" si="49"/>
        <v>0</v>
      </c>
      <c r="J63" s="22" t="str">
        <f t="shared" si="34"/>
        <v xml:space="preserve"> </v>
      </c>
      <c r="K63" s="22" t="str">
        <f t="shared" si="35"/>
        <v xml:space="preserve"> </v>
      </c>
      <c r="L63" s="16" t="e">
        <f t="shared" si="7"/>
        <v>#NUM!</v>
      </c>
      <c r="M63" s="16" t="e">
        <f t="shared" si="52"/>
        <v>#NUM!</v>
      </c>
      <c r="N63" s="16" t="e">
        <f t="shared" si="15"/>
        <v>#NUM!</v>
      </c>
      <c r="O63" s="16" t="e">
        <f t="shared" si="16"/>
        <v>#NUM!</v>
      </c>
      <c r="P63" s="16" t="e">
        <f t="shared" si="9"/>
        <v>#VALUE!</v>
      </c>
      <c r="Q63" s="16" t="e">
        <f t="shared" si="53"/>
        <v>#NUM!</v>
      </c>
      <c r="R63" s="16" t="e">
        <f t="shared" si="11"/>
        <v>#NUM!</v>
      </c>
      <c r="S63" s="16" t="e">
        <f t="shared" si="12"/>
        <v>#NUM!</v>
      </c>
      <c r="T63" s="16" t="e">
        <f t="shared" si="13"/>
        <v>#NUM!</v>
      </c>
      <c r="U63" s="16"/>
      <c r="V63" s="16">
        <f t="shared" si="50"/>
        <v>0</v>
      </c>
      <c r="W63" s="16" t="e">
        <f t="shared" ref="W63:AQ63" si="75">9.81/(2*PI())*$E$9^2*TANH(2*PI()*$H63/V63)</f>
        <v>#DIV/0!</v>
      </c>
      <c r="X63" s="16" t="e">
        <f t="shared" si="75"/>
        <v>#DIV/0!</v>
      </c>
      <c r="Y63" s="16" t="e">
        <f t="shared" si="75"/>
        <v>#DIV/0!</v>
      </c>
      <c r="Z63" s="16" t="e">
        <f t="shared" si="75"/>
        <v>#DIV/0!</v>
      </c>
      <c r="AA63" s="16" t="e">
        <f t="shared" si="75"/>
        <v>#DIV/0!</v>
      </c>
      <c r="AB63" s="16" t="e">
        <f t="shared" si="75"/>
        <v>#DIV/0!</v>
      </c>
      <c r="AC63" s="16" t="e">
        <f t="shared" si="75"/>
        <v>#DIV/0!</v>
      </c>
      <c r="AD63" s="16" t="e">
        <f t="shared" si="75"/>
        <v>#DIV/0!</v>
      </c>
      <c r="AE63" s="16" t="e">
        <f t="shared" si="75"/>
        <v>#DIV/0!</v>
      </c>
      <c r="AF63" s="16" t="e">
        <f t="shared" si="75"/>
        <v>#DIV/0!</v>
      </c>
      <c r="AG63" s="16" t="e">
        <f t="shared" si="75"/>
        <v>#DIV/0!</v>
      </c>
      <c r="AH63" s="16" t="e">
        <f t="shared" si="75"/>
        <v>#DIV/0!</v>
      </c>
      <c r="AI63" s="16" t="e">
        <f t="shared" si="75"/>
        <v>#DIV/0!</v>
      </c>
      <c r="AJ63" s="16" t="e">
        <f t="shared" si="75"/>
        <v>#DIV/0!</v>
      </c>
      <c r="AK63" s="16" t="e">
        <f t="shared" si="75"/>
        <v>#DIV/0!</v>
      </c>
      <c r="AL63" s="16" t="e">
        <f t="shared" si="75"/>
        <v>#DIV/0!</v>
      </c>
      <c r="AM63" s="16" t="e">
        <f t="shared" si="75"/>
        <v>#DIV/0!</v>
      </c>
      <c r="AN63" s="16" t="e">
        <f t="shared" si="75"/>
        <v>#DIV/0!</v>
      </c>
      <c r="AO63" s="16" t="e">
        <f t="shared" si="75"/>
        <v>#DIV/0!</v>
      </c>
      <c r="AP63" s="16" t="e">
        <f t="shared" si="75"/>
        <v>#DIV/0!</v>
      </c>
      <c r="AQ63" s="16" t="e">
        <f t="shared" si="75"/>
        <v>#DIV/0!</v>
      </c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</row>
    <row r="64" spans="1:54" customFormat="1">
      <c r="A64" s="2"/>
      <c r="B64" s="3"/>
      <c r="H64" s="21">
        <f t="shared" si="5"/>
        <v>0</v>
      </c>
      <c r="I64" s="21">
        <f t="shared" si="49"/>
        <v>0</v>
      </c>
      <c r="J64" s="22" t="str">
        <f t="shared" si="34"/>
        <v xml:space="preserve"> </v>
      </c>
      <c r="K64" s="22" t="str">
        <f t="shared" si="35"/>
        <v xml:space="preserve"> </v>
      </c>
      <c r="L64" s="16" t="e">
        <f t="shared" si="7"/>
        <v>#NUM!</v>
      </c>
      <c r="M64" s="16" t="e">
        <f t="shared" si="52"/>
        <v>#NUM!</v>
      </c>
      <c r="N64" s="16" t="e">
        <f t="shared" si="15"/>
        <v>#NUM!</v>
      </c>
      <c r="O64" s="16" t="e">
        <f t="shared" si="16"/>
        <v>#NUM!</v>
      </c>
      <c r="P64" s="16" t="e">
        <f t="shared" si="9"/>
        <v>#VALUE!</v>
      </c>
      <c r="Q64" s="16" t="e">
        <f t="shared" si="53"/>
        <v>#NUM!</v>
      </c>
      <c r="R64" s="16" t="e">
        <f t="shared" si="11"/>
        <v>#NUM!</v>
      </c>
      <c r="S64" s="16" t="e">
        <f t="shared" si="12"/>
        <v>#NUM!</v>
      </c>
      <c r="T64" s="16" t="e">
        <f t="shared" si="13"/>
        <v>#NUM!</v>
      </c>
      <c r="U64" s="16"/>
      <c r="V64" s="16">
        <f t="shared" si="50"/>
        <v>0</v>
      </c>
      <c r="W64" s="16" t="e">
        <f t="shared" ref="W64:AQ64" si="76">9.81/(2*PI())*$E$9^2*TANH(2*PI()*$H64/V64)</f>
        <v>#DIV/0!</v>
      </c>
      <c r="X64" s="16" t="e">
        <f t="shared" si="76"/>
        <v>#DIV/0!</v>
      </c>
      <c r="Y64" s="16" t="e">
        <f t="shared" si="76"/>
        <v>#DIV/0!</v>
      </c>
      <c r="Z64" s="16" t="e">
        <f t="shared" si="76"/>
        <v>#DIV/0!</v>
      </c>
      <c r="AA64" s="16" t="e">
        <f t="shared" si="76"/>
        <v>#DIV/0!</v>
      </c>
      <c r="AB64" s="16" t="e">
        <f t="shared" si="76"/>
        <v>#DIV/0!</v>
      </c>
      <c r="AC64" s="16" t="e">
        <f t="shared" si="76"/>
        <v>#DIV/0!</v>
      </c>
      <c r="AD64" s="16" t="e">
        <f t="shared" si="76"/>
        <v>#DIV/0!</v>
      </c>
      <c r="AE64" s="16" t="e">
        <f t="shared" si="76"/>
        <v>#DIV/0!</v>
      </c>
      <c r="AF64" s="16" t="e">
        <f t="shared" si="76"/>
        <v>#DIV/0!</v>
      </c>
      <c r="AG64" s="16" t="e">
        <f t="shared" si="76"/>
        <v>#DIV/0!</v>
      </c>
      <c r="AH64" s="16" t="e">
        <f t="shared" si="76"/>
        <v>#DIV/0!</v>
      </c>
      <c r="AI64" s="16" t="e">
        <f t="shared" si="76"/>
        <v>#DIV/0!</v>
      </c>
      <c r="AJ64" s="16" t="e">
        <f t="shared" si="76"/>
        <v>#DIV/0!</v>
      </c>
      <c r="AK64" s="16" t="e">
        <f t="shared" si="76"/>
        <v>#DIV/0!</v>
      </c>
      <c r="AL64" s="16" t="e">
        <f t="shared" si="76"/>
        <v>#DIV/0!</v>
      </c>
      <c r="AM64" s="16" t="e">
        <f t="shared" si="76"/>
        <v>#DIV/0!</v>
      </c>
      <c r="AN64" s="16" t="e">
        <f t="shared" si="76"/>
        <v>#DIV/0!</v>
      </c>
      <c r="AO64" s="16" t="e">
        <f t="shared" si="76"/>
        <v>#DIV/0!</v>
      </c>
      <c r="AP64" s="16" t="e">
        <f t="shared" si="76"/>
        <v>#DIV/0!</v>
      </c>
      <c r="AQ64" s="16" t="e">
        <f t="shared" si="76"/>
        <v>#DIV/0!</v>
      </c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</row>
    <row r="65" spans="1:54" customFormat="1">
      <c r="A65" s="2"/>
      <c r="B65" s="3"/>
      <c r="H65" s="21">
        <f t="shared" si="5"/>
        <v>0</v>
      </c>
      <c r="I65" s="21">
        <f t="shared" si="49"/>
        <v>0</v>
      </c>
      <c r="J65" s="22" t="str">
        <f t="shared" si="34"/>
        <v xml:space="preserve"> </v>
      </c>
      <c r="K65" s="22" t="str">
        <f t="shared" si="35"/>
        <v xml:space="preserve"> </v>
      </c>
      <c r="L65" s="16" t="e">
        <f t="shared" si="7"/>
        <v>#NUM!</v>
      </c>
      <c r="M65" s="16" t="e">
        <f t="shared" si="52"/>
        <v>#NUM!</v>
      </c>
      <c r="N65" s="16" t="e">
        <f t="shared" si="15"/>
        <v>#NUM!</v>
      </c>
      <c r="O65" s="16" t="e">
        <f t="shared" si="16"/>
        <v>#NUM!</v>
      </c>
      <c r="P65" s="16" t="e">
        <f t="shared" si="9"/>
        <v>#VALUE!</v>
      </c>
      <c r="Q65" s="16" t="e">
        <f t="shared" si="53"/>
        <v>#NUM!</v>
      </c>
      <c r="R65" s="16" t="e">
        <f t="shared" si="11"/>
        <v>#NUM!</v>
      </c>
      <c r="S65" s="16" t="e">
        <f t="shared" si="12"/>
        <v>#NUM!</v>
      </c>
      <c r="T65" s="16" t="e">
        <f t="shared" si="13"/>
        <v>#NUM!</v>
      </c>
      <c r="U65" s="16"/>
      <c r="V65" s="16">
        <f t="shared" si="50"/>
        <v>0</v>
      </c>
      <c r="W65" s="16" t="e">
        <f t="shared" ref="W65:AQ65" si="77">9.81/(2*PI())*$E$9^2*TANH(2*PI()*$H65/V65)</f>
        <v>#DIV/0!</v>
      </c>
      <c r="X65" s="16" t="e">
        <f t="shared" si="77"/>
        <v>#DIV/0!</v>
      </c>
      <c r="Y65" s="16" t="e">
        <f t="shared" si="77"/>
        <v>#DIV/0!</v>
      </c>
      <c r="Z65" s="16" t="e">
        <f t="shared" si="77"/>
        <v>#DIV/0!</v>
      </c>
      <c r="AA65" s="16" t="e">
        <f t="shared" si="77"/>
        <v>#DIV/0!</v>
      </c>
      <c r="AB65" s="16" t="e">
        <f t="shared" si="77"/>
        <v>#DIV/0!</v>
      </c>
      <c r="AC65" s="16" t="e">
        <f t="shared" si="77"/>
        <v>#DIV/0!</v>
      </c>
      <c r="AD65" s="16" t="e">
        <f t="shared" si="77"/>
        <v>#DIV/0!</v>
      </c>
      <c r="AE65" s="16" t="e">
        <f t="shared" si="77"/>
        <v>#DIV/0!</v>
      </c>
      <c r="AF65" s="16" t="e">
        <f t="shared" si="77"/>
        <v>#DIV/0!</v>
      </c>
      <c r="AG65" s="16" t="e">
        <f t="shared" si="77"/>
        <v>#DIV/0!</v>
      </c>
      <c r="AH65" s="16" t="e">
        <f t="shared" si="77"/>
        <v>#DIV/0!</v>
      </c>
      <c r="AI65" s="16" t="e">
        <f t="shared" si="77"/>
        <v>#DIV/0!</v>
      </c>
      <c r="AJ65" s="16" t="e">
        <f t="shared" si="77"/>
        <v>#DIV/0!</v>
      </c>
      <c r="AK65" s="16" t="e">
        <f t="shared" si="77"/>
        <v>#DIV/0!</v>
      </c>
      <c r="AL65" s="16" t="e">
        <f t="shared" si="77"/>
        <v>#DIV/0!</v>
      </c>
      <c r="AM65" s="16" t="e">
        <f t="shared" si="77"/>
        <v>#DIV/0!</v>
      </c>
      <c r="AN65" s="16" t="e">
        <f t="shared" si="77"/>
        <v>#DIV/0!</v>
      </c>
      <c r="AO65" s="16" t="e">
        <f t="shared" si="77"/>
        <v>#DIV/0!</v>
      </c>
      <c r="AP65" s="16" t="e">
        <f t="shared" si="77"/>
        <v>#DIV/0!</v>
      </c>
      <c r="AQ65" s="16" t="e">
        <f t="shared" si="77"/>
        <v>#DIV/0!</v>
      </c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</row>
    <row r="66" spans="1:54" customFormat="1">
      <c r="A66" s="2"/>
      <c r="B66" s="3"/>
      <c r="H66" s="21">
        <f t="shared" si="5"/>
        <v>0</v>
      </c>
      <c r="I66" s="21">
        <f t="shared" si="49"/>
        <v>0</v>
      </c>
      <c r="J66" s="22" t="str">
        <f t="shared" si="34"/>
        <v xml:space="preserve"> </v>
      </c>
      <c r="K66" s="22" t="str">
        <f t="shared" si="35"/>
        <v xml:space="preserve"> </v>
      </c>
      <c r="L66" s="16" t="e">
        <f t="shared" si="7"/>
        <v>#NUM!</v>
      </c>
      <c r="M66" s="16" t="e">
        <f t="shared" si="52"/>
        <v>#NUM!</v>
      </c>
      <c r="N66" s="16" t="e">
        <f t="shared" si="15"/>
        <v>#NUM!</v>
      </c>
      <c r="O66" s="16" t="e">
        <f t="shared" si="16"/>
        <v>#NUM!</v>
      </c>
      <c r="P66" s="16" t="e">
        <f t="shared" si="9"/>
        <v>#VALUE!</v>
      </c>
      <c r="Q66" s="16" t="e">
        <f t="shared" si="53"/>
        <v>#NUM!</v>
      </c>
      <c r="R66" s="16" t="e">
        <f t="shared" si="11"/>
        <v>#NUM!</v>
      </c>
      <c r="S66" s="16" t="e">
        <f t="shared" si="12"/>
        <v>#NUM!</v>
      </c>
      <c r="T66" s="16" t="e">
        <f t="shared" si="13"/>
        <v>#NUM!</v>
      </c>
      <c r="U66" s="16"/>
      <c r="V66" s="16">
        <f t="shared" si="50"/>
        <v>0</v>
      </c>
      <c r="W66" s="16" t="e">
        <f t="shared" ref="W66:AQ66" si="78">9.81/(2*PI())*$E$9^2*TANH(2*PI()*$H66/V66)</f>
        <v>#DIV/0!</v>
      </c>
      <c r="X66" s="16" t="e">
        <f t="shared" si="78"/>
        <v>#DIV/0!</v>
      </c>
      <c r="Y66" s="16" t="e">
        <f t="shared" si="78"/>
        <v>#DIV/0!</v>
      </c>
      <c r="Z66" s="16" t="e">
        <f t="shared" si="78"/>
        <v>#DIV/0!</v>
      </c>
      <c r="AA66" s="16" t="e">
        <f t="shared" si="78"/>
        <v>#DIV/0!</v>
      </c>
      <c r="AB66" s="16" t="e">
        <f t="shared" si="78"/>
        <v>#DIV/0!</v>
      </c>
      <c r="AC66" s="16" t="e">
        <f t="shared" si="78"/>
        <v>#DIV/0!</v>
      </c>
      <c r="AD66" s="16" t="e">
        <f t="shared" si="78"/>
        <v>#DIV/0!</v>
      </c>
      <c r="AE66" s="16" t="e">
        <f t="shared" si="78"/>
        <v>#DIV/0!</v>
      </c>
      <c r="AF66" s="16" t="e">
        <f t="shared" si="78"/>
        <v>#DIV/0!</v>
      </c>
      <c r="AG66" s="16" t="e">
        <f t="shared" si="78"/>
        <v>#DIV/0!</v>
      </c>
      <c r="AH66" s="16" t="e">
        <f t="shared" si="78"/>
        <v>#DIV/0!</v>
      </c>
      <c r="AI66" s="16" t="e">
        <f t="shared" si="78"/>
        <v>#DIV/0!</v>
      </c>
      <c r="AJ66" s="16" t="e">
        <f t="shared" si="78"/>
        <v>#DIV/0!</v>
      </c>
      <c r="AK66" s="16" t="e">
        <f t="shared" si="78"/>
        <v>#DIV/0!</v>
      </c>
      <c r="AL66" s="16" t="e">
        <f t="shared" si="78"/>
        <v>#DIV/0!</v>
      </c>
      <c r="AM66" s="16" t="e">
        <f t="shared" si="78"/>
        <v>#DIV/0!</v>
      </c>
      <c r="AN66" s="16" t="e">
        <f t="shared" si="78"/>
        <v>#DIV/0!</v>
      </c>
      <c r="AO66" s="16" t="e">
        <f t="shared" si="78"/>
        <v>#DIV/0!</v>
      </c>
      <c r="AP66" s="16" t="e">
        <f t="shared" si="78"/>
        <v>#DIV/0!</v>
      </c>
      <c r="AQ66" s="16" t="e">
        <f t="shared" si="78"/>
        <v>#DIV/0!</v>
      </c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</row>
    <row r="67" spans="1:54" customFormat="1">
      <c r="A67" s="2"/>
      <c r="B67" s="3"/>
      <c r="H67" s="21">
        <f t="shared" si="5"/>
        <v>0</v>
      </c>
      <c r="I67" s="21">
        <f t="shared" si="49"/>
        <v>0</v>
      </c>
      <c r="J67" s="22" t="str">
        <f t="shared" si="34"/>
        <v xml:space="preserve"> </v>
      </c>
      <c r="K67" s="22" t="str">
        <f t="shared" si="35"/>
        <v xml:space="preserve"> </v>
      </c>
      <c r="L67" s="16" t="e">
        <f t="shared" si="7"/>
        <v>#NUM!</v>
      </c>
      <c r="M67" s="16" t="e">
        <f t="shared" si="52"/>
        <v>#NUM!</v>
      </c>
      <c r="N67" s="16" t="e">
        <f t="shared" si="15"/>
        <v>#NUM!</v>
      </c>
      <c r="O67" s="16" t="e">
        <f t="shared" si="16"/>
        <v>#NUM!</v>
      </c>
      <c r="P67" s="16" t="e">
        <f t="shared" si="9"/>
        <v>#VALUE!</v>
      </c>
      <c r="Q67" s="16" t="e">
        <f t="shared" si="53"/>
        <v>#NUM!</v>
      </c>
      <c r="R67" s="16" t="e">
        <f t="shared" si="11"/>
        <v>#NUM!</v>
      </c>
      <c r="S67" s="16" t="e">
        <f t="shared" si="12"/>
        <v>#NUM!</v>
      </c>
      <c r="T67" s="16" t="e">
        <f t="shared" si="13"/>
        <v>#NUM!</v>
      </c>
      <c r="U67" s="16"/>
      <c r="V67" s="16">
        <f t="shared" si="50"/>
        <v>0</v>
      </c>
      <c r="W67" s="16" t="e">
        <f t="shared" ref="W67:AQ67" si="79">9.81/(2*PI())*$E$9^2*TANH(2*PI()*$H67/V67)</f>
        <v>#DIV/0!</v>
      </c>
      <c r="X67" s="16" t="e">
        <f t="shared" si="79"/>
        <v>#DIV/0!</v>
      </c>
      <c r="Y67" s="16" t="e">
        <f t="shared" si="79"/>
        <v>#DIV/0!</v>
      </c>
      <c r="Z67" s="16" t="e">
        <f t="shared" si="79"/>
        <v>#DIV/0!</v>
      </c>
      <c r="AA67" s="16" t="e">
        <f t="shared" si="79"/>
        <v>#DIV/0!</v>
      </c>
      <c r="AB67" s="16" t="e">
        <f t="shared" si="79"/>
        <v>#DIV/0!</v>
      </c>
      <c r="AC67" s="16" t="e">
        <f t="shared" si="79"/>
        <v>#DIV/0!</v>
      </c>
      <c r="AD67" s="16" t="e">
        <f t="shared" si="79"/>
        <v>#DIV/0!</v>
      </c>
      <c r="AE67" s="16" t="e">
        <f t="shared" si="79"/>
        <v>#DIV/0!</v>
      </c>
      <c r="AF67" s="16" t="e">
        <f t="shared" si="79"/>
        <v>#DIV/0!</v>
      </c>
      <c r="AG67" s="16" t="e">
        <f t="shared" si="79"/>
        <v>#DIV/0!</v>
      </c>
      <c r="AH67" s="16" t="e">
        <f t="shared" si="79"/>
        <v>#DIV/0!</v>
      </c>
      <c r="AI67" s="16" t="e">
        <f t="shared" si="79"/>
        <v>#DIV/0!</v>
      </c>
      <c r="AJ67" s="16" t="e">
        <f t="shared" si="79"/>
        <v>#DIV/0!</v>
      </c>
      <c r="AK67" s="16" t="e">
        <f t="shared" si="79"/>
        <v>#DIV/0!</v>
      </c>
      <c r="AL67" s="16" t="e">
        <f t="shared" si="79"/>
        <v>#DIV/0!</v>
      </c>
      <c r="AM67" s="16" t="e">
        <f t="shared" si="79"/>
        <v>#DIV/0!</v>
      </c>
      <c r="AN67" s="16" t="e">
        <f t="shared" si="79"/>
        <v>#DIV/0!</v>
      </c>
      <c r="AO67" s="16" t="e">
        <f t="shared" si="79"/>
        <v>#DIV/0!</v>
      </c>
      <c r="AP67" s="16" t="e">
        <f t="shared" si="79"/>
        <v>#DIV/0!</v>
      </c>
      <c r="AQ67" s="16" t="e">
        <f t="shared" si="79"/>
        <v>#DIV/0!</v>
      </c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</row>
    <row r="68" spans="1:54" customFormat="1">
      <c r="A68" s="2"/>
      <c r="B68" s="3"/>
      <c r="H68" s="21">
        <f t="shared" si="5"/>
        <v>0</v>
      </c>
      <c r="I68" s="21">
        <f t="shared" si="49"/>
        <v>0</v>
      </c>
      <c r="J68" s="22" t="str">
        <f t="shared" si="34"/>
        <v xml:space="preserve"> </v>
      </c>
      <c r="K68" s="22" t="str">
        <f t="shared" si="35"/>
        <v xml:space="preserve"> </v>
      </c>
      <c r="L68" s="16" t="e">
        <f t="shared" si="7"/>
        <v>#NUM!</v>
      </c>
      <c r="M68" s="16" t="e">
        <f t="shared" si="52"/>
        <v>#NUM!</v>
      </c>
      <c r="N68" s="16" t="e">
        <f t="shared" si="15"/>
        <v>#NUM!</v>
      </c>
      <c r="O68" s="16" t="e">
        <f t="shared" si="16"/>
        <v>#NUM!</v>
      </c>
      <c r="P68" s="16" t="e">
        <f t="shared" si="9"/>
        <v>#VALUE!</v>
      </c>
      <c r="Q68" s="16" t="e">
        <f t="shared" si="53"/>
        <v>#NUM!</v>
      </c>
      <c r="R68" s="16" t="e">
        <f t="shared" si="11"/>
        <v>#NUM!</v>
      </c>
      <c r="S68" s="16" t="e">
        <f t="shared" si="12"/>
        <v>#NUM!</v>
      </c>
      <c r="T68" s="16" t="e">
        <f t="shared" si="13"/>
        <v>#NUM!</v>
      </c>
      <c r="U68" s="16"/>
      <c r="V68" s="16">
        <f t="shared" si="50"/>
        <v>0</v>
      </c>
      <c r="W68" s="16" t="e">
        <f t="shared" ref="W68:AQ68" si="80">9.81/(2*PI())*$E$9^2*TANH(2*PI()*$H68/V68)</f>
        <v>#DIV/0!</v>
      </c>
      <c r="X68" s="16" t="e">
        <f t="shared" si="80"/>
        <v>#DIV/0!</v>
      </c>
      <c r="Y68" s="16" t="e">
        <f t="shared" si="80"/>
        <v>#DIV/0!</v>
      </c>
      <c r="Z68" s="16" t="e">
        <f t="shared" si="80"/>
        <v>#DIV/0!</v>
      </c>
      <c r="AA68" s="16" t="e">
        <f t="shared" si="80"/>
        <v>#DIV/0!</v>
      </c>
      <c r="AB68" s="16" t="e">
        <f t="shared" si="80"/>
        <v>#DIV/0!</v>
      </c>
      <c r="AC68" s="16" t="e">
        <f t="shared" si="80"/>
        <v>#DIV/0!</v>
      </c>
      <c r="AD68" s="16" t="e">
        <f t="shared" si="80"/>
        <v>#DIV/0!</v>
      </c>
      <c r="AE68" s="16" t="e">
        <f t="shared" si="80"/>
        <v>#DIV/0!</v>
      </c>
      <c r="AF68" s="16" t="e">
        <f t="shared" si="80"/>
        <v>#DIV/0!</v>
      </c>
      <c r="AG68" s="16" t="e">
        <f t="shared" si="80"/>
        <v>#DIV/0!</v>
      </c>
      <c r="AH68" s="16" t="e">
        <f t="shared" si="80"/>
        <v>#DIV/0!</v>
      </c>
      <c r="AI68" s="16" t="e">
        <f t="shared" si="80"/>
        <v>#DIV/0!</v>
      </c>
      <c r="AJ68" s="16" t="e">
        <f t="shared" si="80"/>
        <v>#DIV/0!</v>
      </c>
      <c r="AK68" s="16" t="e">
        <f t="shared" si="80"/>
        <v>#DIV/0!</v>
      </c>
      <c r="AL68" s="16" t="e">
        <f t="shared" si="80"/>
        <v>#DIV/0!</v>
      </c>
      <c r="AM68" s="16" t="e">
        <f t="shared" si="80"/>
        <v>#DIV/0!</v>
      </c>
      <c r="AN68" s="16" t="e">
        <f t="shared" si="80"/>
        <v>#DIV/0!</v>
      </c>
      <c r="AO68" s="16" t="e">
        <f t="shared" si="80"/>
        <v>#DIV/0!</v>
      </c>
      <c r="AP68" s="16" t="e">
        <f t="shared" si="80"/>
        <v>#DIV/0!</v>
      </c>
      <c r="AQ68" s="16" t="e">
        <f t="shared" si="80"/>
        <v>#DIV/0!</v>
      </c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</row>
    <row r="69" spans="1:54" customFormat="1">
      <c r="A69" s="2"/>
      <c r="B69" s="3"/>
      <c r="H69" s="21">
        <f t="shared" si="5"/>
        <v>0</v>
      </c>
      <c r="I69" s="21">
        <f t="shared" si="49"/>
        <v>0</v>
      </c>
      <c r="J69" s="22" t="str">
        <f t="shared" si="34"/>
        <v xml:space="preserve"> </v>
      </c>
      <c r="K69" s="22" t="str">
        <f t="shared" si="35"/>
        <v xml:space="preserve"> </v>
      </c>
      <c r="L69" s="16" t="e">
        <f t="shared" si="7"/>
        <v>#NUM!</v>
      </c>
      <c r="M69" s="16" t="e">
        <f t="shared" si="52"/>
        <v>#NUM!</v>
      </c>
      <c r="N69" s="16" t="e">
        <f t="shared" si="15"/>
        <v>#NUM!</v>
      </c>
      <c r="O69" s="16" t="e">
        <f t="shared" si="16"/>
        <v>#NUM!</v>
      </c>
      <c r="P69" s="16" t="e">
        <f t="shared" si="9"/>
        <v>#VALUE!</v>
      </c>
      <c r="Q69" s="16" t="e">
        <f t="shared" si="53"/>
        <v>#NUM!</v>
      </c>
      <c r="R69" s="16" t="e">
        <f t="shared" si="11"/>
        <v>#NUM!</v>
      </c>
      <c r="S69" s="16" t="e">
        <f t="shared" si="12"/>
        <v>#NUM!</v>
      </c>
      <c r="T69" s="16" t="e">
        <f t="shared" si="13"/>
        <v>#NUM!</v>
      </c>
      <c r="U69" s="16"/>
      <c r="V69" s="16">
        <f t="shared" si="50"/>
        <v>0</v>
      </c>
      <c r="W69" s="16" t="e">
        <f t="shared" ref="W69:AQ69" si="81">9.81/(2*PI())*$E$9^2*TANH(2*PI()*$H69/V69)</f>
        <v>#DIV/0!</v>
      </c>
      <c r="X69" s="16" t="e">
        <f t="shared" si="81"/>
        <v>#DIV/0!</v>
      </c>
      <c r="Y69" s="16" t="e">
        <f t="shared" si="81"/>
        <v>#DIV/0!</v>
      </c>
      <c r="Z69" s="16" t="e">
        <f t="shared" si="81"/>
        <v>#DIV/0!</v>
      </c>
      <c r="AA69" s="16" t="e">
        <f t="shared" si="81"/>
        <v>#DIV/0!</v>
      </c>
      <c r="AB69" s="16" t="e">
        <f t="shared" si="81"/>
        <v>#DIV/0!</v>
      </c>
      <c r="AC69" s="16" t="e">
        <f t="shared" si="81"/>
        <v>#DIV/0!</v>
      </c>
      <c r="AD69" s="16" t="e">
        <f t="shared" si="81"/>
        <v>#DIV/0!</v>
      </c>
      <c r="AE69" s="16" t="e">
        <f t="shared" si="81"/>
        <v>#DIV/0!</v>
      </c>
      <c r="AF69" s="16" t="e">
        <f t="shared" si="81"/>
        <v>#DIV/0!</v>
      </c>
      <c r="AG69" s="16" t="e">
        <f t="shared" si="81"/>
        <v>#DIV/0!</v>
      </c>
      <c r="AH69" s="16" t="e">
        <f t="shared" si="81"/>
        <v>#DIV/0!</v>
      </c>
      <c r="AI69" s="16" t="e">
        <f t="shared" si="81"/>
        <v>#DIV/0!</v>
      </c>
      <c r="AJ69" s="16" t="e">
        <f t="shared" si="81"/>
        <v>#DIV/0!</v>
      </c>
      <c r="AK69" s="16" t="e">
        <f t="shared" si="81"/>
        <v>#DIV/0!</v>
      </c>
      <c r="AL69" s="16" t="e">
        <f t="shared" si="81"/>
        <v>#DIV/0!</v>
      </c>
      <c r="AM69" s="16" t="e">
        <f t="shared" si="81"/>
        <v>#DIV/0!</v>
      </c>
      <c r="AN69" s="16" t="e">
        <f t="shared" si="81"/>
        <v>#DIV/0!</v>
      </c>
      <c r="AO69" s="16" t="e">
        <f t="shared" si="81"/>
        <v>#DIV/0!</v>
      </c>
      <c r="AP69" s="16" t="e">
        <f t="shared" si="81"/>
        <v>#DIV/0!</v>
      </c>
      <c r="AQ69" s="16" t="e">
        <f t="shared" si="81"/>
        <v>#DIV/0!</v>
      </c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</row>
    <row r="70" spans="1:54" customFormat="1">
      <c r="A70" s="2"/>
      <c r="B70" s="3"/>
      <c r="H70" s="21">
        <f t="shared" si="5"/>
        <v>0</v>
      </c>
      <c r="I70" s="21">
        <f t="shared" si="49"/>
        <v>0</v>
      </c>
      <c r="J70" s="22" t="str">
        <f t="shared" si="34"/>
        <v xml:space="preserve"> </v>
      </c>
      <c r="K70" s="22" t="str">
        <f t="shared" si="35"/>
        <v xml:space="preserve"> </v>
      </c>
      <c r="L70" s="16" t="e">
        <f t="shared" si="7"/>
        <v>#NUM!</v>
      </c>
      <c r="M70" s="16" t="e">
        <f t="shared" si="52"/>
        <v>#NUM!</v>
      </c>
      <c r="N70" s="16" t="e">
        <f t="shared" si="15"/>
        <v>#NUM!</v>
      </c>
      <c r="O70" s="16" t="e">
        <f t="shared" si="16"/>
        <v>#NUM!</v>
      </c>
      <c r="P70" s="16" t="e">
        <f t="shared" si="9"/>
        <v>#VALUE!</v>
      </c>
      <c r="Q70" s="16" t="e">
        <f t="shared" si="53"/>
        <v>#NUM!</v>
      </c>
      <c r="R70" s="16" t="e">
        <f t="shared" si="11"/>
        <v>#NUM!</v>
      </c>
      <c r="S70" s="16" t="e">
        <f t="shared" si="12"/>
        <v>#NUM!</v>
      </c>
      <c r="T70" s="16" t="e">
        <f t="shared" si="13"/>
        <v>#NUM!</v>
      </c>
      <c r="U70" s="16"/>
      <c r="V70" s="16">
        <f t="shared" si="50"/>
        <v>0</v>
      </c>
      <c r="W70" s="16" t="e">
        <f t="shared" ref="W70:AQ70" si="82">9.81/(2*PI())*$E$9^2*TANH(2*PI()*$H70/V70)</f>
        <v>#DIV/0!</v>
      </c>
      <c r="X70" s="16" t="e">
        <f t="shared" si="82"/>
        <v>#DIV/0!</v>
      </c>
      <c r="Y70" s="16" t="e">
        <f t="shared" si="82"/>
        <v>#DIV/0!</v>
      </c>
      <c r="Z70" s="16" t="e">
        <f t="shared" si="82"/>
        <v>#DIV/0!</v>
      </c>
      <c r="AA70" s="16" t="e">
        <f t="shared" si="82"/>
        <v>#DIV/0!</v>
      </c>
      <c r="AB70" s="16" t="e">
        <f t="shared" si="82"/>
        <v>#DIV/0!</v>
      </c>
      <c r="AC70" s="16" t="e">
        <f t="shared" si="82"/>
        <v>#DIV/0!</v>
      </c>
      <c r="AD70" s="16" t="e">
        <f t="shared" si="82"/>
        <v>#DIV/0!</v>
      </c>
      <c r="AE70" s="16" t="e">
        <f t="shared" si="82"/>
        <v>#DIV/0!</v>
      </c>
      <c r="AF70" s="16" t="e">
        <f t="shared" si="82"/>
        <v>#DIV/0!</v>
      </c>
      <c r="AG70" s="16" t="e">
        <f t="shared" si="82"/>
        <v>#DIV/0!</v>
      </c>
      <c r="AH70" s="16" t="e">
        <f t="shared" si="82"/>
        <v>#DIV/0!</v>
      </c>
      <c r="AI70" s="16" t="e">
        <f t="shared" si="82"/>
        <v>#DIV/0!</v>
      </c>
      <c r="AJ70" s="16" t="e">
        <f t="shared" si="82"/>
        <v>#DIV/0!</v>
      </c>
      <c r="AK70" s="16" t="e">
        <f t="shared" si="82"/>
        <v>#DIV/0!</v>
      </c>
      <c r="AL70" s="16" t="e">
        <f t="shared" si="82"/>
        <v>#DIV/0!</v>
      </c>
      <c r="AM70" s="16" t="e">
        <f t="shared" si="82"/>
        <v>#DIV/0!</v>
      </c>
      <c r="AN70" s="16" t="e">
        <f t="shared" si="82"/>
        <v>#DIV/0!</v>
      </c>
      <c r="AO70" s="16" t="e">
        <f t="shared" si="82"/>
        <v>#DIV/0!</v>
      </c>
      <c r="AP70" s="16" t="e">
        <f t="shared" si="82"/>
        <v>#DIV/0!</v>
      </c>
      <c r="AQ70" s="16" t="e">
        <f t="shared" si="82"/>
        <v>#DIV/0!</v>
      </c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</row>
    <row r="71" spans="1:54" customFormat="1">
      <c r="A71" s="2"/>
      <c r="B71" s="3"/>
      <c r="H71" s="21">
        <f t="shared" si="5"/>
        <v>0</v>
      </c>
      <c r="I71" s="21">
        <f t="shared" si="49"/>
        <v>0</v>
      </c>
      <c r="J71" s="22" t="str">
        <f t="shared" si="34"/>
        <v xml:space="preserve"> </v>
      </c>
      <c r="K71" s="22" t="str">
        <f t="shared" si="35"/>
        <v xml:space="preserve"> </v>
      </c>
      <c r="L71" s="16" t="e">
        <f t="shared" si="7"/>
        <v>#NUM!</v>
      </c>
      <c r="M71" s="16" t="e">
        <f t="shared" si="52"/>
        <v>#NUM!</v>
      </c>
      <c r="N71" s="16" t="e">
        <f t="shared" si="15"/>
        <v>#NUM!</v>
      </c>
      <c r="O71" s="16" t="e">
        <f t="shared" si="16"/>
        <v>#NUM!</v>
      </c>
      <c r="P71" s="16" t="e">
        <f t="shared" si="9"/>
        <v>#VALUE!</v>
      </c>
      <c r="Q71" s="16" t="e">
        <f t="shared" si="53"/>
        <v>#NUM!</v>
      </c>
      <c r="R71" s="16" t="e">
        <f t="shared" si="11"/>
        <v>#NUM!</v>
      </c>
      <c r="S71" s="16" t="e">
        <f t="shared" si="12"/>
        <v>#NUM!</v>
      </c>
      <c r="T71" s="16" t="e">
        <f t="shared" si="13"/>
        <v>#NUM!</v>
      </c>
      <c r="U71" s="16"/>
      <c r="V71" s="16">
        <f t="shared" si="50"/>
        <v>0</v>
      </c>
      <c r="W71" s="16" t="e">
        <f t="shared" ref="W71:AQ71" si="83">9.81/(2*PI())*$E$9^2*TANH(2*PI()*$H71/V71)</f>
        <v>#DIV/0!</v>
      </c>
      <c r="X71" s="16" t="e">
        <f t="shared" si="83"/>
        <v>#DIV/0!</v>
      </c>
      <c r="Y71" s="16" t="e">
        <f t="shared" si="83"/>
        <v>#DIV/0!</v>
      </c>
      <c r="Z71" s="16" t="e">
        <f t="shared" si="83"/>
        <v>#DIV/0!</v>
      </c>
      <c r="AA71" s="16" t="e">
        <f t="shared" si="83"/>
        <v>#DIV/0!</v>
      </c>
      <c r="AB71" s="16" t="e">
        <f t="shared" si="83"/>
        <v>#DIV/0!</v>
      </c>
      <c r="AC71" s="16" t="e">
        <f t="shared" si="83"/>
        <v>#DIV/0!</v>
      </c>
      <c r="AD71" s="16" t="e">
        <f t="shared" si="83"/>
        <v>#DIV/0!</v>
      </c>
      <c r="AE71" s="16" t="e">
        <f t="shared" si="83"/>
        <v>#DIV/0!</v>
      </c>
      <c r="AF71" s="16" t="e">
        <f t="shared" si="83"/>
        <v>#DIV/0!</v>
      </c>
      <c r="AG71" s="16" t="e">
        <f t="shared" si="83"/>
        <v>#DIV/0!</v>
      </c>
      <c r="AH71" s="16" t="e">
        <f t="shared" si="83"/>
        <v>#DIV/0!</v>
      </c>
      <c r="AI71" s="16" t="e">
        <f t="shared" si="83"/>
        <v>#DIV/0!</v>
      </c>
      <c r="AJ71" s="16" t="e">
        <f t="shared" si="83"/>
        <v>#DIV/0!</v>
      </c>
      <c r="AK71" s="16" t="e">
        <f t="shared" si="83"/>
        <v>#DIV/0!</v>
      </c>
      <c r="AL71" s="16" t="e">
        <f t="shared" si="83"/>
        <v>#DIV/0!</v>
      </c>
      <c r="AM71" s="16" t="e">
        <f t="shared" si="83"/>
        <v>#DIV/0!</v>
      </c>
      <c r="AN71" s="16" t="e">
        <f t="shared" si="83"/>
        <v>#DIV/0!</v>
      </c>
      <c r="AO71" s="16" t="e">
        <f t="shared" si="83"/>
        <v>#DIV/0!</v>
      </c>
      <c r="AP71" s="16" t="e">
        <f t="shared" si="83"/>
        <v>#DIV/0!</v>
      </c>
      <c r="AQ71" s="16" t="e">
        <f t="shared" si="83"/>
        <v>#DIV/0!</v>
      </c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</row>
    <row r="72" spans="1:54" customFormat="1">
      <c r="A72" s="2"/>
      <c r="B72" s="3"/>
      <c r="H72" s="21">
        <f t="shared" si="5"/>
        <v>0</v>
      </c>
      <c r="I72" s="21">
        <f t="shared" si="49"/>
        <v>0</v>
      </c>
      <c r="J72" s="22" t="str">
        <f t="shared" si="34"/>
        <v xml:space="preserve"> </v>
      </c>
      <c r="K72" s="22" t="str">
        <f t="shared" si="35"/>
        <v xml:space="preserve"> </v>
      </c>
      <c r="L72" s="16" t="e">
        <f t="shared" si="7"/>
        <v>#NUM!</v>
      </c>
      <c r="M72" s="16" t="e">
        <f t="shared" si="52"/>
        <v>#NUM!</v>
      </c>
      <c r="N72" s="16" t="e">
        <f t="shared" si="15"/>
        <v>#NUM!</v>
      </c>
      <c r="O72" s="16" t="e">
        <f t="shared" si="16"/>
        <v>#NUM!</v>
      </c>
      <c r="P72" s="16" t="e">
        <f t="shared" si="9"/>
        <v>#VALUE!</v>
      </c>
      <c r="Q72" s="16" t="e">
        <f t="shared" si="53"/>
        <v>#NUM!</v>
      </c>
      <c r="R72" s="16" t="e">
        <f t="shared" si="11"/>
        <v>#NUM!</v>
      </c>
      <c r="S72" s="16" t="e">
        <f t="shared" si="12"/>
        <v>#NUM!</v>
      </c>
      <c r="T72" s="16" t="e">
        <f t="shared" si="13"/>
        <v>#NUM!</v>
      </c>
      <c r="U72" s="16"/>
      <c r="V72" s="16">
        <f t="shared" si="50"/>
        <v>0</v>
      </c>
      <c r="W72" s="16" t="e">
        <f t="shared" ref="W72:AQ72" si="84">9.81/(2*PI())*$E$9^2*TANH(2*PI()*$H72/V72)</f>
        <v>#DIV/0!</v>
      </c>
      <c r="X72" s="16" t="e">
        <f t="shared" si="84"/>
        <v>#DIV/0!</v>
      </c>
      <c r="Y72" s="16" t="e">
        <f t="shared" si="84"/>
        <v>#DIV/0!</v>
      </c>
      <c r="Z72" s="16" t="e">
        <f t="shared" si="84"/>
        <v>#DIV/0!</v>
      </c>
      <c r="AA72" s="16" t="e">
        <f t="shared" si="84"/>
        <v>#DIV/0!</v>
      </c>
      <c r="AB72" s="16" t="e">
        <f t="shared" si="84"/>
        <v>#DIV/0!</v>
      </c>
      <c r="AC72" s="16" t="e">
        <f t="shared" si="84"/>
        <v>#DIV/0!</v>
      </c>
      <c r="AD72" s="16" t="e">
        <f t="shared" si="84"/>
        <v>#DIV/0!</v>
      </c>
      <c r="AE72" s="16" t="e">
        <f t="shared" si="84"/>
        <v>#DIV/0!</v>
      </c>
      <c r="AF72" s="16" t="e">
        <f t="shared" si="84"/>
        <v>#DIV/0!</v>
      </c>
      <c r="AG72" s="16" t="e">
        <f t="shared" si="84"/>
        <v>#DIV/0!</v>
      </c>
      <c r="AH72" s="16" t="e">
        <f t="shared" si="84"/>
        <v>#DIV/0!</v>
      </c>
      <c r="AI72" s="16" t="e">
        <f t="shared" si="84"/>
        <v>#DIV/0!</v>
      </c>
      <c r="AJ72" s="16" t="e">
        <f t="shared" si="84"/>
        <v>#DIV/0!</v>
      </c>
      <c r="AK72" s="16" t="e">
        <f t="shared" si="84"/>
        <v>#DIV/0!</v>
      </c>
      <c r="AL72" s="16" t="e">
        <f t="shared" si="84"/>
        <v>#DIV/0!</v>
      </c>
      <c r="AM72" s="16" t="e">
        <f t="shared" si="84"/>
        <v>#DIV/0!</v>
      </c>
      <c r="AN72" s="16" t="e">
        <f t="shared" si="84"/>
        <v>#DIV/0!</v>
      </c>
      <c r="AO72" s="16" t="e">
        <f t="shared" si="84"/>
        <v>#DIV/0!</v>
      </c>
      <c r="AP72" s="16" t="e">
        <f t="shared" si="84"/>
        <v>#DIV/0!</v>
      </c>
      <c r="AQ72" s="16" t="e">
        <f t="shared" si="84"/>
        <v>#DIV/0!</v>
      </c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</row>
    <row r="73" spans="1:54" customFormat="1">
      <c r="A73" s="2"/>
      <c r="B73" s="3"/>
      <c r="H73" s="21">
        <f t="shared" si="5"/>
        <v>0</v>
      </c>
      <c r="I73" s="21">
        <f t="shared" ref="I73:I100" si="85">IF(B73&gt;=0,0,0.5*(1+(4*PI()*H73/AQ73)/(SINH(4*PI()*H73/AQ73))))</f>
        <v>0</v>
      </c>
      <c r="J73" s="22" t="str">
        <f t="shared" si="34"/>
        <v xml:space="preserve"> </v>
      </c>
      <c r="K73" s="22" t="str">
        <f t="shared" si="35"/>
        <v xml:space="preserve"> </v>
      </c>
      <c r="L73" s="16" t="e">
        <f t="shared" si="7"/>
        <v>#NUM!</v>
      </c>
      <c r="M73" s="16" t="e">
        <f t="shared" si="52"/>
        <v>#NUM!</v>
      </c>
      <c r="N73" s="16" t="e">
        <f t="shared" si="15"/>
        <v>#NUM!</v>
      </c>
      <c r="O73" s="16" t="e">
        <f t="shared" si="16"/>
        <v>#NUM!</v>
      </c>
      <c r="P73" s="16" t="e">
        <f t="shared" si="9"/>
        <v>#VALUE!</v>
      </c>
      <c r="Q73" s="16" t="e">
        <f t="shared" si="53"/>
        <v>#NUM!</v>
      </c>
      <c r="R73" s="16" t="e">
        <f t="shared" si="11"/>
        <v>#NUM!</v>
      </c>
      <c r="S73" s="16" t="e">
        <f t="shared" si="12"/>
        <v>#NUM!</v>
      </c>
      <c r="T73" s="16" t="e">
        <f t="shared" si="13"/>
        <v>#NUM!</v>
      </c>
      <c r="U73" s="16"/>
      <c r="V73" s="16">
        <f t="shared" ref="V73:V100" si="86">9.81/(2*PI())*$E$9^2*TANH(2*PI()*$H73/I$4)</f>
        <v>0</v>
      </c>
      <c r="W73" s="16" t="e">
        <f t="shared" ref="W73:AQ73" si="87">9.81/(2*PI())*$E$9^2*TANH(2*PI()*$H73/V73)</f>
        <v>#DIV/0!</v>
      </c>
      <c r="X73" s="16" t="e">
        <f t="shared" si="87"/>
        <v>#DIV/0!</v>
      </c>
      <c r="Y73" s="16" t="e">
        <f t="shared" si="87"/>
        <v>#DIV/0!</v>
      </c>
      <c r="Z73" s="16" t="e">
        <f t="shared" si="87"/>
        <v>#DIV/0!</v>
      </c>
      <c r="AA73" s="16" t="e">
        <f t="shared" si="87"/>
        <v>#DIV/0!</v>
      </c>
      <c r="AB73" s="16" t="e">
        <f t="shared" si="87"/>
        <v>#DIV/0!</v>
      </c>
      <c r="AC73" s="16" t="e">
        <f t="shared" si="87"/>
        <v>#DIV/0!</v>
      </c>
      <c r="AD73" s="16" t="e">
        <f t="shared" si="87"/>
        <v>#DIV/0!</v>
      </c>
      <c r="AE73" s="16" t="e">
        <f t="shared" si="87"/>
        <v>#DIV/0!</v>
      </c>
      <c r="AF73" s="16" t="e">
        <f t="shared" si="87"/>
        <v>#DIV/0!</v>
      </c>
      <c r="AG73" s="16" t="e">
        <f t="shared" si="87"/>
        <v>#DIV/0!</v>
      </c>
      <c r="AH73" s="16" t="e">
        <f t="shared" si="87"/>
        <v>#DIV/0!</v>
      </c>
      <c r="AI73" s="16" t="e">
        <f t="shared" si="87"/>
        <v>#DIV/0!</v>
      </c>
      <c r="AJ73" s="16" t="e">
        <f t="shared" si="87"/>
        <v>#DIV/0!</v>
      </c>
      <c r="AK73" s="16" t="e">
        <f t="shared" si="87"/>
        <v>#DIV/0!</v>
      </c>
      <c r="AL73" s="16" t="e">
        <f t="shared" si="87"/>
        <v>#DIV/0!</v>
      </c>
      <c r="AM73" s="16" t="e">
        <f t="shared" si="87"/>
        <v>#DIV/0!</v>
      </c>
      <c r="AN73" s="16" t="e">
        <f t="shared" si="87"/>
        <v>#DIV/0!</v>
      </c>
      <c r="AO73" s="16" t="e">
        <f t="shared" si="87"/>
        <v>#DIV/0!</v>
      </c>
      <c r="AP73" s="16" t="e">
        <f t="shared" si="87"/>
        <v>#DIV/0!</v>
      </c>
      <c r="AQ73" s="16" t="e">
        <f t="shared" si="87"/>
        <v>#DIV/0!</v>
      </c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</row>
    <row r="74" spans="1:54" customFormat="1">
      <c r="A74" s="2"/>
      <c r="B74" s="3"/>
      <c r="H74" s="21">
        <f t="shared" ref="H74:H100" si="88">IF(B74&gt;=0,0,-B74)</f>
        <v>0</v>
      </c>
      <c r="I74" s="21">
        <f t="shared" si="85"/>
        <v>0</v>
      </c>
      <c r="J74" s="22" t="str">
        <f t="shared" si="34"/>
        <v xml:space="preserve"> </v>
      </c>
      <c r="K74" s="22" t="str">
        <f t="shared" si="35"/>
        <v xml:space="preserve"> </v>
      </c>
      <c r="L74" s="16" t="e">
        <f t="shared" ref="L74:L100" si="89">N73*(H73/H74)^0.25</f>
        <v>#NUM!</v>
      </c>
      <c r="M74" s="16" t="e">
        <f t="shared" ref="M74:M100" si="90">1/(1+((64*PI()^3)/(3*9.81^2))*((S74*L73*(A74-A73))/(H74^2))*((H74^2)/($E$9^4))*(((L74/L73)^2)/(SINH(2*PI()*H74/AQ73))^3))</f>
        <v>#NUM!</v>
      </c>
      <c r="N74" s="16" t="e">
        <f t="shared" si="15"/>
        <v>#NUM!</v>
      </c>
      <c r="O74" s="16" t="e">
        <f t="shared" si="16"/>
        <v>#NUM!</v>
      </c>
      <c r="P74" s="16" t="e">
        <f t="shared" ref="P74:P100" si="91">K74/M74</f>
        <v>#VALUE!</v>
      </c>
      <c r="Q74" s="16" t="e">
        <f t="shared" ref="Q74:Q100" si="92">($E$9*R74)/(2*PI())</f>
        <v>#NUM!</v>
      </c>
      <c r="R74" s="16" t="e">
        <f t="shared" ref="R74:R100" si="93">(O73/2)*SQRT(9.81/H74)</f>
        <v>#NUM!</v>
      </c>
      <c r="S74" s="16" t="e">
        <f t="shared" ref="S74:S100" si="94">EXP((5.213*((2.5*$I$6)/Q74)^0.195)-5.977)</f>
        <v>#NUM!</v>
      </c>
      <c r="T74" s="16" t="e">
        <f t="shared" ref="T74:T100" si="95">O74/H74</f>
        <v>#NUM!</v>
      </c>
      <c r="U74" s="16"/>
      <c r="V74" s="16">
        <f t="shared" si="86"/>
        <v>0</v>
      </c>
      <c r="W74" s="16" t="e">
        <f t="shared" ref="W74:AQ74" si="96">9.81/(2*PI())*$E$9^2*TANH(2*PI()*$H74/V74)</f>
        <v>#DIV/0!</v>
      </c>
      <c r="X74" s="16" t="e">
        <f t="shared" si="96"/>
        <v>#DIV/0!</v>
      </c>
      <c r="Y74" s="16" t="e">
        <f t="shared" si="96"/>
        <v>#DIV/0!</v>
      </c>
      <c r="Z74" s="16" t="e">
        <f t="shared" si="96"/>
        <v>#DIV/0!</v>
      </c>
      <c r="AA74" s="16" t="e">
        <f t="shared" si="96"/>
        <v>#DIV/0!</v>
      </c>
      <c r="AB74" s="16" t="e">
        <f t="shared" si="96"/>
        <v>#DIV/0!</v>
      </c>
      <c r="AC74" s="16" t="e">
        <f t="shared" si="96"/>
        <v>#DIV/0!</v>
      </c>
      <c r="AD74" s="16" t="e">
        <f t="shared" si="96"/>
        <v>#DIV/0!</v>
      </c>
      <c r="AE74" s="16" t="e">
        <f t="shared" si="96"/>
        <v>#DIV/0!</v>
      </c>
      <c r="AF74" s="16" t="e">
        <f t="shared" si="96"/>
        <v>#DIV/0!</v>
      </c>
      <c r="AG74" s="16" t="e">
        <f t="shared" si="96"/>
        <v>#DIV/0!</v>
      </c>
      <c r="AH74" s="16" t="e">
        <f t="shared" si="96"/>
        <v>#DIV/0!</v>
      </c>
      <c r="AI74" s="16" t="e">
        <f t="shared" si="96"/>
        <v>#DIV/0!</v>
      </c>
      <c r="AJ74" s="16" t="e">
        <f t="shared" si="96"/>
        <v>#DIV/0!</v>
      </c>
      <c r="AK74" s="16" t="e">
        <f t="shared" si="96"/>
        <v>#DIV/0!</v>
      </c>
      <c r="AL74" s="16" t="e">
        <f t="shared" si="96"/>
        <v>#DIV/0!</v>
      </c>
      <c r="AM74" s="16" t="e">
        <f t="shared" si="96"/>
        <v>#DIV/0!</v>
      </c>
      <c r="AN74" s="16" t="e">
        <f t="shared" si="96"/>
        <v>#DIV/0!</v>
      </c>
      <c r="AO74" s="16" t="e">
        <f t="shared" si="96"/>
        <v>#DIV/0!</v>
      </c>
      <c r="AP74" s="16" t="e">
        <f t="shared" si="96"/>
        <v>#DIV/0!</v>
      </c>
      <c r="AQ74" s="16" t="e">
        <f t="shared" si="96"/>
        <v>#DIV/0!</v>
      </c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customFormat="1">
      <c r="A75" s="2"/>
      <c r="B75" s="3"/>
      <c r="H75" s="21">
        <f t="shared" si="88"/>
        <v>0</v>
      </c>
      <c r="I75" s="21">
        <f t="shared" si="85"/>
        <v>0</v>
      </c>
      <c r="J75" s="22" t="str">
        <f t="shared" si="34"/>
        <v xml:space="preserve"> </v>
      </c>
      <c r="K75" s="22" t="str">
        <f t="shared" si="35"/>
        <v xml:space="preserve"> </v>
      </c>
      <c r="L75" s="16" t="e">
        <f t="shared" si="89"/>
        <v>#NUM!</v>
      </c>
      <c r="M75" s="16" t="e">
        <f t="shared" si="90"/>
        <v>#NUM!</v>
      </c>
      <c r="N75" s="16" t="e">
        <f t="shared" ref="N75:N100" si="97">M75*L75</f>
        <v>#NUM!</v>
      </c>
      <c r="O75" s="16" t="e">
        <f t="shared" ref="O75:O100" si="98">IF(N75/H75&gt;0.66,0.66*H75,N75)</f>
        <v>#NUM!</v>
      </c>
      <c r="P75" s="16" t="e">
        <f t="shared" si="91"/>
        <v>#VALUE!</v>
      </c>
      <c r="Q75" s="16" t="e">
        <f t="shared" si="92"/>
        <v>#NUM!</v>
      </c>
      <c r="R75" s="16" t="e">
        <f t="shared" si="93"/>
        <v>#NUM!</v>
      </c>
      <c r="S75" s="16" t="e">
        <f t="shared" si="94"/>
        <v>#NUM!</v>
      </c>
      <c r="T75" s="16" t="e">
        <f t="shared" si="95"/>
        <v>#NUM!</v>
      </c>
      <c r="U75" s="16"/>
      <c r="V75" s="16">
        <f t="shared" si="86"/>
        <v>0</v>
      </c>
      <c r="W75" s="16" t="e">
        <f t="shared" ref="W75:AQ75" si="99">9.81/(2*PI())*$E$9^2*TANH(2*PI()*$H75/V75)</f>
        <v>#DIV/0!</v>
      </c>
      <c r="X75" s="16" t="e">
        <f t="shared" si="99"/>
        <v>#DIV/0!</v>
      </c>
      <c r="Y75" s="16" t="e">
        <f t="shared" si="99"/>
        <v>#DIV/0!</v>
      </c>
      <c r="Z75" s="16" t="e">
        <f t="shared" si="99"/>
        <v>#DIV/0!</v>
      </c>
      <c r="AA75" s="16" t="e">
        <f t="shared" si="99"/>
        <v>#DIV/0!</v>
      </c>
      <c r="AB75" s="16" t="e">
        <f t="shared" si="99"/>
        <v>#DIV/0!</v>
      </c>
      <c r="AC75" s="16" t="e">
        <f t="shared" si="99"/>
        <v>#DIV/0!</v>
      </c>
      <c r="AD75" s="16" t="e">
        <f t="shared" si="99"/>
        <v>#DIV/0!</v>
      </c>
      <c r="AE75" s="16" t="e">
        <f t="shared" si="99"/>
        <v>#DIV/0!</v>
      </c>
      <c r="AF75" s="16" t="e">
        <f t="shared" si="99"/>
        <v>#DIV/0!</v>
      </c>
      <c r="AG75" s="16" t="e">
        <f t="shared" si="99"/>
        <v>#DIV/0!</v>
      </c>
      <c r="AH75" s="16" t="e">
        <f t="shared" si="99"/>
        <v>#DIV/0!</v>
      </c>
      <c r="AI75" s="16" t="e">
        <f t="shared" si="99"/>
        <v>#DIV/0!</v>
      </c>
      <c r="AJ75" s="16" t="e">
        <f t="shared" si="99"/>
        <v>#DIV/0!</v>
      </c>
      <c r="AK75" s="16" t="e">
        <f t="shared" si="99"/>
        <v>#DIV/0!</v>
      </c>
      <c r="AL75" s="16" t="e">
        <f t="shared" si="99"/>
        <v>#DIV/0!</v>
      </c>
      <c r="AM75" s="16" t="e">
        <f t="shared" si="99"/>
        <v>#DIV/0!</v>
      </c>
      <c r="AN75" s="16" t="e">
        <f t="shared" si="99"/>
        <v>#DIV/0!</v>
      </c>
      <c r="AO75" s="16" t="e">
        <f t="shared" si="99"/>
        <v>#DIV/0!</v>
      </c>
      <c r="AP75" s="16" t="e">
        <f t="shared" si="99"/>
        <v>#DIV/0!</v>
      </c>
      <c r="AQ75" s="16" t="e">
        <f t="shared" si="99"/>
        <v>#DIV/0!</v>
      </c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</row>
    <row r="76" spans="1:54" customFormat="1">
      <c r="A76" s="2"/>
      <c r="B76" s="3"/>
      <c r="H76" s="21">
        <f t="shared" si="88"/>
        <v>0</v>
      </c>
      <c r="I76" s="21">
        <f t="shared" si="85"/>
        <v>0</v>
      </c>
      <c r="J76" s="22" t="str">
        <f t="shared" si="34"/>
        <v xml:space="preserve"> </v>
      </c>
      <c r="K76" s="22" t="str">
        <f t="shared" si="35"/>
        <v xml:space="preserve"> </v>
      </c>
      <c r="L76" s="16" t="e">
        <f t="shared" si="89"/>
        <v>#NUM!</v>
      </c>
      <c r="M76" s="16" t="e">
        <f t="shared" si="90"/>
        <v>#NUM!</v>
      </c>
      <c r="N76" s="16" t="e">
        <f t="shared" si="97"/>
        <v>#NUM!</v>
      </c>
      <c r="O76" s="16" t="e">
        <f t="shared" si="98"/>
        <v>#NUM!</v>
      </c>
      <c r="P76" s="16" t="e">
        <f t="shared" si="91"/>
        <v>#VALUE!</v>
      </c>
      <c r="Q76" s="16" t="e">
        <f t="shared" si="92"/>
        <v>#NUM!</v>
      </c>
      <c r="R76" s="16" t="e">
        <f t="shared" si="93"/>
        <v>#NUM!</v>
      </c>
      <c r="S76" s="16" t="e">
        <f t="shared" si="94"/>
        <v>#NUM!</v>
      </c>
      <c r="T76" s="16" t="e">
        <f t="shared" si="95"/>
        <v>#NUM!</v>
      </c>
      <c r="U76" s="16"/>
      <c r="V76" s="16">
        <f t="shared" si="86"/>
        <v>0</v>
      </c>
      <c r="W76" s="16" t="e">
        <f t="shared" ref="W76:AQ76" si="100">9.81/(2*PI())*$E$9^2*TANH(2*PI()*$H76/V76)</f>
        <v>#DIV/0!</v>
      </c>
      <c r="X76" s="16" t="e">
        <f t="shared" si="100"/>
        <v>#DIV/0!</v>
      </c>
      <c r="Y76" s="16" t="e">
        <f t="shared" si="100"/>
        <v>#DIV/0!</v>
      </c>
      <c r="Z76" s="16" t="e">
        <f t="shared" si="100"/>
        <v>#DIV/0!</v>
      </c>
      <c r="AA76" s="16" t="e">
        <f t="shared" si="100"/>
        <v>#DIV/0!</v>
      </c>
      <c r="AB76" s="16" t="e">
        <f t="shared" si="100"/>
        <v>#DIV/0!</v>
      </c>
      <c r="AC76" s="16" t="e">
        <f t="shared" si="100"/>
        <v>#DIV/0!</v>
      </c>
      <c r="AD76" s="16" t="e">
        <f t="shared" si="100"/>
        <v>#DIV/0!</v>
      </c>
      <c r="AE76" s="16" t="e">
        <f t="shared" si="100"/>
        <v>#DIV/0!</v>
      </c>
      <c r="AF76" s="16" t="e">
        <f t="shared" si="100"/>
        <v>#DIV/0!</v>
      </c>
      <c r="AG76" s="16" t="e">
        <f t="shared" si="100"/>
        <v>#DIV/0!</v>
      </c>
      <c r="AH76" s="16" t="e">
        <f t="shared" si="100"/>
        <v>#DIV/0!</v>
      </c>
      <c r="AI76" s="16" t="e">
        <f t="shared" si="100"/>
        <v>#DIV/0!</v>
      </c>
      <c r="AJ76" s="16" t="e">
        <f t="shared" si="100"/>
        <v>#DIV/0!</v>
      </c>
      <c r="AK76" s="16" t="e">
        <f t="shared" si="100"/>
        <v>#DIV/0!</v>
      </c>
      <c r="AL76" s="16" t="e">
        <f t="shared" si="100"/>
        <v>#DIV/0!</v>
      </c>
      <c r="AM76" s="16" t="e">
        <f t="shared" si="100"/>
        <v>#DIV/0!</v>
      </c>
      <c r="AN76" s="16" t="e">
        <f t="shared" si="100"/>
        <v>#DIV/0!</v>
      </c>
      <c r="AO76" s="16" t="e">
        <f t="shared" si="100"/>
        <v>#DIV/0!</v>
      </c>
      <c r="AP76" s="16" t="e">
        <f t="shared" si="100"/>
        <v>#DIV/0!</v>
      </c>
      <c r="AQ76" s="16" t="e">
        <f t="shared" si="100"/>
        <v>#DIV/0!</v>
      </c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</row>
    <row r="77" spans="1:54" customFormat="1">
      <c r="A77" s="2"/>
      <c r="B77" s="3"/>
      <c r="H77" s="21">
        <f t="shared" si="88"/>
        <v>0</v>
      </c>
      <c r="I77" s="21">
        <f t="shared" si="85"/>
        <v>0</v>
      </c>
      <c r="J77" s="22" t="str">
        <f t="shared" si="34"/>
        <v xml:space="preserve"> </v>
      </c>
      <c r="K77" s="22" t="str">
        <f t="shared" si="35"/>
        <v xml:space="preserve"> </v>
      </c>
      <c r="L77" s="16" t="e">
        <f t="shared" si="89"/>
        <v>#NUM!</v>
      </c>
      <c r="M77" s="16" t="e">
        <f t="shared" si="90"/>
        <v>#NUM!</v>
      </c>
      <c r="N77" s="16" t="e">
        <f t="shared" si="97"/>
        <v>#NUM!</v>
      </c>
      <c r="O77" s="16" t="e">
        <f t="shared" si="98"/>
        <v>#NUM!</v>
      </c>
      <c r="P77" s="16" t="e">
        <f t="shared" si="91"/>
        <v>#VALUE!</v>
      </c>
      <c r="Q77" s="16" t="e">
        <f t="shared" si="92"/>
        <v>#NUM!</v>
      </c>
      <c r="R77" s="16" t="e">
        <f t="shared" si="93"/>
        <v>#NUM!</v>
      </c>
      <c r="S77" s="16" t="e">
        <f t="shared" si="94"/>
        <v>#NUM!</v>
      </c>
      <c r="T77" s="16" t="e">
        <f t="shared" si="95"/>
        <v>#NUM!</v>
      </c>
      <c r="U77" s="16"/>
      <c r="V77" s="16">
        <f t="shared" si="86"/>
        <v>0</v>
      </c>
      <c r="W77" s="16" t="e">
        <f t="shared" ref="W77:AQ77" si="101">9.81/(2*PI())*$E$9^2*TANH(2*PI()*$H77/V77)</f>
        <v>#DIV/0!</v>
      </c>
      <c r="X77" s="16" t="e">
        <f t="shared" si="101"/>
        <v>#DIV/0!</v>
      </c>
      <c r="Y77" s="16" t="e">
        <f t="shared" si="101"/>
        <v>#DIV/0!</v>
      </c>
      <c r="Z77" s="16" t="e">
        <f t="shared" si="101"/>
        <v>#DIV/0!</v>
      </c>
      <c r="AA77" s="16" t="e">
        <f t="shared" si="101"/>
        <v>#DIV/0!</v>
      </c>
      <c r="AB77" s="16" t="e">
        <f t="shared" si="101"/>
        <v>#DIV/0!</v>
      </c>
      <c r="AC77" s="16" t="e">
        <f t="shared" si="101"/>
        <v>#DIV/0!</v>
      </c>
      <c r="AD77" s="16" t="e">
        <f t="shared" si="101"/>
        <v>#DIV/0!</v>
      </c>
      <c r="AE77" s="16" t="e">
        <f t="shared" si="101"/>
        <v>#DIV/0!</v>
      </c>
      <c r="AF77" s="16" t="e">
        <f t="shared" si="101"/>
        <v>#DIV/0!</v>
      </c>
      <c r="AG77" s="16" t="e">
        <f t="shared" si="101"/>
        <v>#DIV/0!</v>
      </c>
      <c r="AH77" s="16" t="e">
        <f t="shared" si="101"/>
        <v>#DIV/0!</v>
      </c>
      <c r="AI77" s="16" t="e">
        <f t="shared" si="101"/>
        <v>#DIV/0!</v>
      </c>
      <c r="AJ77" s="16" t="e">
        <f t="shared" si="101"/>
        <v>#DIV/0!</v>
      </c>
      <c r="AK77" s="16" t="e">
        <f t="shared" si="101"/>
        <v>#DIV/0!</v>
      </c>
      <c r="AL77" s="16" t="e">
        <f t="shared" si="101"/>
        <v>#DIV/0!</v>
      </c>
      <c r="AM77" s="16" t="e">
        <f t="shared" si="101"/>
        <v>#DIV/0!</v>
      </c>
      <c r="AN77" s="16" t="e">
        <f t="shared" si="101"/>
        <v>#DIV/0!</v>
      </c>
      <c r="AO77" s="16" t="e">
        <f t="shared" si="101"/>
        <v>#DIV/0!</v>
      </c>
      <c r="AP77" s="16" t="e">
        <f t="shared" si="101"/>
        <v>#DIV/0!</v>
      </c>
      <c r="AQ77" s="16" t="e">
        <f t="shared" si="101"/>
        <v>#DIV/0!</v>
      </c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</row>
    <row r="78" spans="1:54" customFormat="1">
      <c r="A78" s="2"/>
      <c r="B78" s="3"/>
      <c r="H78" s="21">
        <f t="shared" si="88"/>
        <v>0</v>
      </c>
      <c r="I78" s="21">
        <f t="shared" si="85"/>
        <v>0</v>
      </c>
      <c r="J78" s="22" t="str">
        <f t="shared" si="34"/>
        <v xml:space="preserve"> </v>
      </c>
      <c r="K78" s="22" t="str">
        <f t="shared" si="35"/>
        <v xml:space="preserve"> </v>
      </c>
      <c r="L78" s="16" t="e">
        <f t="shared" si="89"/>
        <v>#NUM!</v>
      </c>
      <c r="M78" s="16" t="e">
        <f t="shared" si="90"/>
        <v>#NUM!</v>
      </c>
      <c r="N78" s="16" t="e">
        <f t="shared" si="97"/>
        <v>#NUM!</v>
      </c>
      <c r="O78" s="16" t="e">
        <f t="shared" si="98"/>
        <v>#NUM!</v>
      </c>
      <c r="P78" s="16" t="e">
        <f t="shared" si="91"/>
        <v>#VALUE!</v>
      </c>
      <c r="Q78" s="16" t="e">
        <f t="shared" si="92"/>
        <v>#NUM!</v>
      </c>
      <c r="R78" s="16" t="e">
        <f t="shared" si="93"/>
        <v>#NUM!</v>
      </c>
      <c r="S78" s="16" t="e">
        <f t="shared" si="94"/>
        <v>#NUM!</v>
      </c>
      <c r="T78" s="16" t="e">
        <f t="shared" si="95"/>
        <v>#NUM!</v>
      </c>
      <c r="U78" s="16"/>
      <c r="V78" s="16">
        <f t="shared" si="86"/>
        <v>0</v>
      </c>
      <c r="W78" s="16" t="e">
        <f t="shared" ref="W78:AQ78" si="102">9.81/(2*PI())*$E$9^2*TANH(2*PI()*$H78/V78)</f>
        <v>#DIV/0!</v>
      </c>
      <c r="X78" s="16" t="e">
        <f t="shared" si="102"/>
        <v>#DIV/0!</v>
      </c>
      <c r="Y78" s="16" t="e">
        <f t="shared" si="102"/>
        <v>#DIV/0!</v>
      </c>
      <c r="Z78" s="16" t="e">
        <f t="shared" si="102"/>
        <v>#DIV/0!</v>
      </c>
      <c r="AA78" s="16" t="e">
        <f t="shared" si="102"/>
        <v>#DIV/0!</v>
      </c>
      <c r="AB78" s="16" t="e">
        <f t="shared" si="102"/>
        <v>#DIV/0!</v>
      </c>
      <c r="AC78" s="16" t="e">
        <f t="shared" si="102"/>
        <v>#DIV/0!</v>
      </c>
      <c r="AD78" s="16" t="e">
        <f t="shared" si="102"/>
        <v>#DIV/0!</v>
      </c>
      <c r="AE78" s="16" t="e">
        <f t="shared" si="102"/>
        <v>#DIV/0!</v>
      </c>
      <c r="AF78" s="16" t="e">
        <f t="shared" si="102"/>
        <v>#DIV/0!</v>
      </c>
      <c r="AG78" s="16" t="e">
        <f t="shared" si="102"/>
        <v>#DIV/0!</v>
      </c>
      <c r="AH78" s="16" t="e">
        <f t="shared" si="102"/>
        <v>#DIV/0!</v>
      </c>
      <c r="AI78" s="16" t="e">
        <f t="shared" si="102"/>
        <v>#DIV/0!</v>
      </c>
      <c r="AJ78" s="16" t="e">
        <f t="shared" si="102"/>
        <v>#DIV/0!</v>
      </c>
      <c r="AK78" s="16" t="e">
        <f t="shared" si="102"/>
        <v>#DIV/0!</v>
      </c>
      <c r="AL78" s="16" t="e">
        <f t="shared" si="102"/>
        <v>#DIV/0!</v>
      </c>
      <c r="AM78" s="16" t="e">
        <f t="shared" si="102"/>
        <v>#DIV/0!</v>
      </c>
      <c r="AN78" s="16" t="e">
        <f t="shared" si="102"/>
        <v>#DIV/0!</v>
      </c>
      <c r="AO78" s="16" t="e">
        <f t="shared" si="102"/>
        <v>#DIV/0!</v>
      </c>
      <c r="AP78" s="16" t="e">
        <f t="shared" si="102"/>
        <v>#DIV/0!</v>
      </c>
      <c r="AQ78" s="16" t="e">
        <f t="shared" si="102"/>
        <v>#DIV/0!</v>
      </c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</row>
    <row r="79" spans="1:54" customFormat="1">
      <c r="A79" s="2"/>
      <c r="B79" s="3"/>
      <c r="H79" s="21">
        <f t="shared" si="88"/>
        <v>0</v>
      </c>
      <c r="I79" s="21">
        <f t="shared" si="85"/>
        <v>0</v>
      </c>
      <c r="J79" s="22" t="str">
        <f t="shared" si="34"/>
        <v xml:space="preserve"> </v>
      </c>
      <c r="K79" s="22" t="str">
        <f t="shared" si="35"/>
        <v xml:space="preserve"> </v>
      </c>
      <c r="L79" s="16" t="e">
        <f t="shared" si="89"/>
        <v>#NUM!</v>
      </c>
      <c r="M79" s="16" t="e">
        <f t="shared" si="90"/>
        <v>#NUM!</v>
      </c>
      <c r="N79" s="16" t="e">
        <f t="shared" si="97"/>
        <v>#NUM!</v>
      </c>
      <c r="O79" s="16" t="e">
        <f t="shared" si="98"/>
        <v>#NUM!</v>
      </c>
      <c r="P79" s="16" t="e">
        <f t="shared" si="91"/>
        <v>#VALUE!</v>
      </c>
      <c r="Q79" s="16" t="e">
        <f t="shared" si="92"/>
        <v>#NUM!</v>
      </c>
      <c r="R79" s="16" t="e">
        <f t="shared" si="93"/>
        <v>#NUM!</v>
      </c>
      <c r="S79" s="16" t="e">
        <f t="shared" si="94"/>
        <v>#NUM!</v>
      </c>
      <c r="T79" s="16" t="e">
        <f t="shared" si="95"/>
        <v>#NUM!</v>
      </c>
      <c r="U79" s="16"/>
      <c r="V79" s="16">
        <f t="shared" si="86"/>
        <v>0</v>
      </c>
      <c r="W79" s="16" t="e">
        <f t="shared" ref="W79:AQ79" si="103">9.81/(2*PI())*$E$9^2*TANH(2*PI()*$H79/V79)</f>
        <v>#DIV/0!</v>
      </c>
      <c r="X79" s="16" t="e">
        <f t="shared" si="103"/>
        <v>#DIV/0!</v>
      </c>
      <c r="Y79" s="16" t="e">
        <f t="shared" si="103"/>
        <v>#DIV/0!</v>
      </c>
      <c r="Z79" s="16" t="e">
        <f t="shared" si="103"/>
        <v>#DIV/0!</v>
      </c>
      <c r="AA79" s="16" t="e">
        <f t="shared" si="103"/>
        <v>#DIV/0!</v>
      </c>
      <c r="AB79" s="16" t="e">
        <f t="shared" si="103"/>
        <v>#DIV/0!</v>
      </c>
      <c r="AC79" s="16" t="e">
        <f t="shared" si="103"/>
        <v>#DIV/0!</v>
      </c>
      <c r="AD79" s="16" t="e">
        <f t="shared" si="103"/>
        <v>#DIV/0!</v>
      </c>
      <c r="AE79" s="16" t="e">
        <f t="shared" si="103"/>
        <v>#DIV/0!</v>
      </c>
      <c r="AF79" s="16" t="e">
        <f t="shared" si="103"/>
        <v>#DIV/0!</v>
      </c>
      <c r="AG79" s="16" t="e">
        <f t="shared" si="103"/>
        <v>#DIV/0!</v>
      </c>
      <c r="AH79" s="16" t="e">
        <f t="shared" si="103"/>
        <v>#DIV/0!</v>
      </c>
      <c r="AI79" s="16" t="e">
        <f t="shared" si="103"/>
        <v>#DIV/0!</v>
      </c>
      <c r="AJ79" s="16" t="e">
        <f t="shared" si="103"/>
        <v>#DIV/0!</v>
      </c>
      <c r="AK79" s="16" t="e">
        <f t="shared" si="103"/>
        <v>#DIV/0!</v>
      </c>
      <c r="AL79" s="16" t="e">
        <f t="shared" si="103"/>
        <v>#DIV/0!</v>
      </c>
      <c r="AM79" s="16" t="e">
        <f t="shared" si="103"/>
        <v>#DIV/0!</v>
      </c>
      <c r="AN79" s="16" t="e">
        <f t="shared" si="103"/>
        <v>#DIV/0!</v>
      </c>
      <c r="AO79" s="16" t="e">
        <f t="shared" si="103"/>
        <v>#DIV/0!</v>
      </c>
      <c r="AP79" s="16" t="e">
        <f t="shared" si="103"/>
        <v>#DIV/0!</v>
      </c>
      <c r="AQ79" s="16" t="e">
        <f t="shared" si="103"/>
        <v>#DIV/0!</v>
      </c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</row>
    <row r="80" spans="1:54" customFormat="1">
      <c r="A80" s="2"/>
      <c r="B80" s="3"/>
      <c r="H80" s="21">
        <f t="shared" si="88"/>
        <v>0</v>
      </c>
      <c r="I80" s="21">
        <f t="shared" si="85"/>
        <v>0</v>
      </c>
      <c r="J80" s="22" t="str">
        <f t="shared" si="34"/>
        <v xml:space="preserve"> </v>
      </c>
      <c r="K80" s="22" t="str">
        <f t="shared" si="35"/>
        <v xml:space="preserve"> </v>
      </c>
      <c r="L80" s="16" t="e">
        <f t="shared" si="89"/>
        <v>#NUM!</v>
      </c>
      <c r="M80" s="16" t="e">
        <f t="shared" si="90"/>
        <v>#NUM!</v>
      </c>
      <c r="N80" s="16" t="e">
        <f t="shared" si="97"/>
        <v>#NUM!</v>
      </c>
      <c r="O80" s="16" t="e">
        <f t="shared" si="98"/>
        <v>#NUM!</v>
      </c>
      <c r="P80" s="16" t="e">
        <f t="shared" si="91"/>
        <v>#VALUE!</v>
      </c>
      <c r="Q80" s="16" t="e">
        <f t="shared" si="92"/>
        <v>#NUM!</v>
      </c>
      <c r="R80" s="16" t="e">
        <f t="shared" si="93"/>
        <v>#NUM!</v>
      </c>
      <c r="S80" s="16" t="e">
        <f t="shared" si="94"/>
        <v>#NUM!</v>
      </c>
      <c r="T80" s="16" t="e">
        <f t="shared" si="95"/>
        <v>#NUM!</v>
      </c>
      <c r="U80" s="16"/>
      <c r="V80" s="16">
        <f t="shared" si="86"/>
        <v>0</v>
      </c>
      <c r="W80" s="16" t="e">
        <f t="shared" ref="W80:AQ80" si="104">9.81/(2*PI())*$E$9^2*TANH(2*PI()*$H80/V80)</f>
        <v>#DIV/0!</v>
      </c>
      <c r="X80" s="16" t="e">
        <f t="shared" si="104"/>
        <v>#DIV/0!</v>
      </c>
      <c r="Y80" s="16" t="e">
        <f t="shared" si="104"/>
        <v>#DIV/0!</v>
      </c>
      <c r="Z80" s="16" t="e">
        <f t="shared" si="104"/>
        <v>#DIV/0!</v>
      </c>
      <c r="AA80" s="16" t="e">
        <f t="shared" si="104"/>
        <v>#DIV/0!</v>
      </c>
      <c r="AB80" s="16" t="e">
        <f t="shared" si="104"/>
        <v>#DIV/0!</v>
      </c>
      <c r="AC80" s="16" t="e">
        <f t="shared" si="104"/>
        <v>#DIV/0!</v>
      </c>
      <c r="AD80" s="16" t="e">
        <f t="shared" si="104"/>
        <v>#DIV/0!</v>
      </c>
      <c r="AE80" s="16" t="e">
        <f t="shared" si="104"/>
        <v>#DIV/0!</v>
      </c>
      <c r="AF80" s="16" t="e">
        <f t="shared" si="104"/>
        <v>#DIV/0!</v>
      </c>
      <c r="AG80" s="16" t="e">
        <f t="shared" si="104"/>
        <v>#DIV/0!</v>
      </c>
      <c r="AH80" s="16" t="e">
        <f t="shared" si="104"/>
        <v>#DIV/0!</v>
      </c>
      <c r="AI80" s="16" t="e">
        <f t="shared" si="104"/>
        <v>#DIV/0!</v>
      </c>
      <c r="AJ80" s="16" t="e">
        <f t="shared" si="104"/>
        <v>#DIV/0!</v>
      </c>
      <c r="AK80" s="16" t="e">
        <f t="shared" si="104"/>
        <v>#DIV/0!</v>
      </c>
      <c r="AL80" s="16" t="e">
        <f t="shared" si="104"/>
        <v>#DIV/0!</v>
      </c>
      <c r="AM80" s="16" t="e">
        <f t="shared" si="104"/>
        <v>#DIV/0!</v>
      </c>
      <c r="AN80" s="16" t="e">
        <f t="shared" si="104"/>
        <v>#DIV/0!</v>
      </c>
      <c r="AO80" s="16" t="e">
        <f t="shared" si="104"/>
        <v>#DIV/0!</v>
      </c>
      <c r="AP80" s="16" t="e">
        <f t="shared" si="104"/>
        <v>#DIV/0!</v>
      </c>
      <c r="AQ80" s="16" t="e">
        <f t="shared" si="104"/>
        <v>#DIV/0!</v>
      </c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</row>
    <row r="81" spans="1:54" customFormat="1">
      <c r="A81" s="2"/>
      <c r="B81" s="3"/>
      <c r="H81" s="21">
        <f t="shared" si="88"/>
        <v>0</v>
      </c>
      <c r="I81" s="21">
        <f t="shared" si="85"/>
        <v>0</v>
      </c>
      <c r="J81" s="22" t="str">
        <f t="shared" si="34"/>
        <v xml:space="preserve"> </v>
      </c>
      <c r="K81" s="22" t="str">
        <f t="shared" si="35"/>
        <v xml:space="preserve"> </v>
      </c>
      <c r="L81" s="16" t="e">
        <f t="shared" si="89"/>
        <v>#NUM!</v>
      </c>
      <c r="M81" s="16" t="e">
        <f t="shared" si="90"/>
        <v>#NUM!</v>
      </c>
      <c r="N81" s="16" t="e">
        <f t="shared" si="97"/>
        <v>#NUM!</v>
      </c>
      <c r="O81" s="16" t="e">
        <f t="shared" si="98"/>
        <v>#NUM!</v>
      </c>
      <c r="P81" s="16" t="e">
        <f t="shared" si="91"/>
        <v>#VALUE!</v>
      </c>
      <c r="Q81" s="16" t="e">
        <f t="shared" si="92"/>
        <v>#NUM!</v>
      </c>
      <c r="R81" s="16" t="e">
        <f t="shared" si="93"/>
        <v>#NUM!</v>
      </c>
      <c r="S81" s="16" t="e">
        <f t="shared" si="94"/>
        <v>#NUM!</v>
      </c>
      <c r="T81" s="16" t="e">
        <f t="shared" si="95"/>
        <v>#NUM!</v>
      </c>
      <c r="U81" s="16"/>
      <c r="V81" s="16">
        <f t="shared" si="86"/>
        <v>0</v>
      </c>
      <c r="W81" s="16" t="e">
        <f t="shared" ref="W81:AQ81" si="105">9.81/(2*PI())*$E$9^2*TANH(2*PI()*$H81/V81)</f>
        <v>#DIV/0!</v>
      </c>
      <c r="X81" s="16" t="e">
        <f t="shared" si="105"/>
        <v>#DIV/0!</v>
      </c>
      <c r="Y81" s="16" t="e">
        <f t="shared" si="105"/>
        <v>#DIV/0!</v>
      </c>
      <c r="Z81" s="16" t="e">
        <f t="shared" si="105"/>
        <v>#DIV/0!</v>
      </c>
      <c r="AA81" s="16" t="e">
        <f t="shared" si="105"/>
        <v>#DIV/0!</v>
      </c>
      <c r="AB81" s="16" t="e">
        <f t="shared" si="105"/>
        <v>#DIV/0!</v>
      </c>
      <c r="AC81" s="16" t="e">
        <f t="shared" si="105"/>
        <v>#DIV/0!</v>
      </c>
      <c r="AD81" s="16" t="e">
        <f t="shared" si="105"/>
        <v>#DIV/0!</v>
      </c>
      <c r="AE81" s="16" t="e">
        <f t="shared" si="105"/>
        <v>#DIV/0!</v>
      </c>
      <c r="AF81" s="16" t="e">
        <f t="shared" si="105"/>
        <v>#DIV/0!</v>
      </c>
      <c r="AG81" s="16" t="e">
        <f t="shared" si="105"/>
        <v>#DIV/0!</v>
      </c>
      <c r="AH81" s="16" t="e">
        <f t="shared" si="105"/>
        <v>#DIV/0!</v>
      </c>
      <c r="AI81" s="16" t="e">
        <f t="shared" si="105"/>
        <v>#DIV/0!</v>
      </c>
      <c r="AJ81" s="16" t="e">
        <f t="shared" si="105"/>
        <v>#DIV/0!</v>
      </c>
      <c r="AK81" s="16" t="e">
        <f t="shared" si="105"/>
        <v>#DIV/0!</v>
      </c>
      <c r="AL81" s="16" t="e">
        <f t="shared" si="105"/>
        <v>#DIV/0!</v>
      </c>
      <c r="AM81" s="16" t="e">
        <f t="shared" si="105"/>
        <v>#DIV/0!</v>
      </c>
      <c r="AN81" s="16" t="e">
        <f t="shared" si="105"/>
        <v>#DIV/0!</v>
      </c>
      <c r="AO81" s="16" t="e">
        <f t="shared" si="105"/>
        <v>#DIV/0!</v>
      </c>
      <c r="AP81" s="16" t="e">
        <f t="shared" si="105"/>
        <v>#DIV/0!</v>
      </c>
      <c r="AQ81" s="16" t="e">
        <f t="shared" si="105"/>
        <v>#DIV/0!</v>
      </c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</row>
    <row r="82" spans="1:54" customFormat="1">
      <c r="A82" s="2"/>
      <c r="B82" s="3"/>
      <c r="H82" s="21">
        <f t="shared" si="88"/>
        <v>0</v>
      </c>
      <c r="I82" s="21">
        <f t="shared" si="85"/>
        <v>0</v>
      </c>
      <c r="J82" s="22" t="str">
        <f t="shared" si="34"/>
        <v xml:space="preserve"> </v>
      </c>
      <c r="K82" s="22" t="str">
        <f t="shared" si="35"/>
        <v xml:space="preserve"> </v>
      </c>
      <c r="L82" s="16" t="e">
        <f t="shared" si="89"/>
        <v>#NUM!</v>
      </c>
      <c r="M82" s="16" t="e">
        <f t="shared" si="90"/>
        <v>#NUM!</v>
      </c>
      <c r="N82" s="16" t="e">
        <f t="shared" si="97"/>
        <v>#NUM!</v>
      </c>
      <c r="O82" s="16" t="e">
        <f t="shared" si="98"/>
        <v>#NUM!</v>
      </c>
      <c r="P82" s="16" t="e">
        <f t="shared" si="91"/>
        <v>#VALUE!</v>
      </c>
      <c r="Q82" s="16" t="e">
        <f t="shared" si="92"/>
        <v>#NUM!</v>
      </c>
      <c r="R82" s="16" t="e">
        <f t="shared" si="93"/>
        <v>#NUM!</v>
      </c>
      <c r="S82" s="16" t="e">
        <f t="shared" si="94"/>
        <v>#NUM!</v>
      </c>
      <c r="T82" s="16" t="e">
        <f t="shared" si="95"/>
        <v>#NUM!</v>
      </c>
      <c r="U82" s="16"/>
      <c r="V82" s="16">
        <f t="shared" si="86"/>
        <v>0</v>
      </c>
      <c r="W82" s="16" t="e">
        <f t="shared" ref="W82:AQ82" si="106">9.81/(2*PI())*$E$9^2*TANH(2*PI()*$H82/V82)</f>
        <v>#DIV/0!</v>
      </c>
      <c r="X82" s="16" t="e">
        <f t="shared" si="106"/>
        <v>#DIV/0!</v>
      </c>
      <c r="Y82" s="16" t="e">
        <f t="shared" si="106"/>
        <v>#DIV/0!</v>
      </c>
      <c r="Z82" s="16" t="e">
        <f t="shared" si="106"/>
        <v>#DIV/0!</v>
      </c>
      <c r="AA82" s="16" t="e">
        <f t="shared" si="106"/>
        <v>#DIV/0!</v>
      </c>
      <c r="AB82" s="16" t="e">
        <f t="shared" si="106"/>
        <v>#DIV/0!</v>
      </c>
      <c r="AC82" s="16" t="e">
        <f t="shared" si="106"/>
        <v>#DIV/0!</v>
      </c>
      <c r="AD82" s="16" t="e">
        <f t="shared" si="106"/>
        <v>#DIV/0!</v>
      </c>
      <c r="AE82" s="16" t="e">
        <f t="shared" si="106"/>
        <v>#DIV/0!</v>
      </c>
      <c r="AF82" s="16" t="e">
        <f t="shared" si="106"/>
        <v>#DIV/0!</v>
      </c>
      <c r="AG82" s="16" t="e">
        <f t="shared" si="106"/>
        <v>#DIV/0!</v>
      </c>
      <c r="AH82" s="16" t="e">
        <f t="shared" si="106"/>
        <v>#DIV/0!</v>
      </c>
      <c r="AI82" s="16" t="e">
        <f t="shared" si="106"/>
        <v>#DIV/0!</v>
      </c>
      <c r="AJ82" s="16" t="e">
        <f t="shared" si="106"/>
        <v>#DIV/0!</v>
      </c>
      <c r="AK82" s="16" t="e">
        <f t="shared" si="106"/>
        <v>#DIV/0!</v>
      </c>
      <c r="AL82" s="16" t="e">
        <f t="shared" si="106"/>
        <v>#DIV/0!</v>
      </c>
      <c r="AM82" s="16" t="e">
        <f t="shared" si="106"/>
        <v>#DIV/0!</v>
      </c>
      <c r="AN82" s="16" t="e">
        <f t="shared" si="106"/>
        <v>#DIV/0!</v>
      </c>
      <c r="AO82" s="16" t="e">
        <f t="shared" si="106"/>
        <v>#DIV/0!</v>
      </c>
      <c r="AP82" s="16" t="e">
        <f t="shared" si="106"/>
        <v>#DIV/0!</v>
      </c>
      <c r="AQ82" s="16" t="e">
        <f t="shared" si="106"/>
        <v>#DIV/0!</v>
      </c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</row>
    <row r="83" spans="1:54" customFormat="1">
      <c r="A83" s="2"/>
      <c r="B83" s="3"/>
      <c r="H83" s="21">
        <f t="shared" si="88"/>
        <v>0</v>
      </c>
      <c r="I83" s="21">
        <f t="shared" si="85"/>
        <v>0</v>
      </c>
      <c r="J83" s="22" t="str">
        <f t="shared" si="34"/>
        <v xml:space="preserve"> </v>
      </c>
      <c r="K83" s="22" t="str">
        <f t="shared" si="35"/>
        <v xml:space="preserve"> </v>
      </c>
      <c r="L83" s="16" t="e">
        <f t="shared" si="89"/>
        <v>#NUM!</v>
      </c>
      <c r="M83" s="16" t="e">
        <f t="shared" si="90"/>
        <v>#NUM!</v>
      </c>
      <c r="N83" s="16" t="e">
        <f t="shared" si="97"/>
        <v>#NUM!</v>
      </c>
      <c r="O83" s="16" t="e">
        <f t="shared" si="98"/>
        <v>#NUM!</v>
      </c>
      <c r="P83" s="16" t="e">
        <f t="shared" si="91"/>
        <v>#VALUE!</v>
      </c>
      <c r="Q83" s="16" t="e">
        <f t="shared" si="92"/>
        <v>#NUM!</v>
      </c>
      <c r="R83" s="16" t="e">
        <f t="shared" si="93"/>
        <v>#NUM!</v>
      </c>
      <c r="S83" s="16" t="e">
        <f t="shared" si="94"/>
        <v>#NUM!</v>
      </c>
      <c r="T83" s="16" t="e">
        <f t="shared" si="95"/>
        <v>#NUM!</v>
      </c>
      <c r="U83" s="16"/>
      <c r="V83" s="16">
        <f t="shared" si="86"/>
        <v>0</v>
      </c>
      <c r="W83" s="16" t="e">
        <f t="shared" ref="W83:AQ83" si="107">9.81/(2*PI())*$E$9^2*TANH(2*PI()*$H83/V83)</f>
        <v>#DIV/0!</v>
      </c>
      <c r="X83" s="16" t="e">
        <f t="shared" si="107"/>
        <v>#DIV/0!</v>
      </c>
      <c r="Y83" s="16" t="e">
        <f t="shared" si="107"/>
        <v>#DIV/0!</v>
      </c>
      <c r="Z83" s="16" t="e">
        <f t="shared" si="107"/>
        <v>#DIV/0!</v>
      </c>
      <c r="AA83" s="16" t="e">
        <f t="shared" si="107"/>
        <v>#DIV/0!</v>
      </c>
      <c r="AB83" s="16" t="e">
        <f t="shared" si="107"/>
        <v>#DIV/0!</v>
      </c>
      <c r="AC83" s="16" t="e">
        <f t="shared" si="107"/>
        <v>#DIV/0!</v>
      </c>
      <c r="AD83" s="16" t="e">
        <f t="shared" si="107"/>
        <v>#DIV/0!</v>
      </c>
      <c r="AE83" s="16" t="e">
        <f t="shared" si="107"/>
        <v>#DIV/0!</v>
      </c>
      <c r="AF83" s="16" t="e">
        <f t="shared" si="107"/>
        <v>#DIV/0!</v>
      </c>
      <c r="AG83" s="16" t="e">
        <f t="shared" si="107"/>
        <v>#DIV/0!</v>
      </c>
      <c r="AH83" s="16" t="e">
        <f t="shared" si="107"/>
        <v>#DIV/0!</v>
      </c>
      <c r="AI83" s="16" t="e">
        <f t="shared" si="107"/>
        <v>#DIV/0!</v>
      </c>
      <c r="AJ83" s="16" t="e">
        <f t="shared" si="107"/>
        <v>#DIV/0!</v>
      </c>
      <c r="AK83" s="16" t="e">
        <f t="shared" si="107"/>
        <v>#DIV/0!</v>
      </c>
      <c r="AL83" s="16" t="e">
        <f t="shared" si="107"/>
        <v>#DIV/0!</v>
      </c>
      <c r="AM83" s="16" t="e">
        <f t="shared" si="107"/>
        <v>#DIV/0!</v>
      </c>
      <c r="AN83" s="16" t="e">
        <f t="shared" si="107"/>
        <v>#DIV/0!</v>
      </c>
      <c r="AO83" s="16" t="e">
        <f t="shared" si="107"/>
        <v>#DIV/0!</v>
      </c>
      <c r="AP83" s="16" t="e">
        <f t="shared" si="107"/>
        <v>#DIV/0!</v>
      </c>
      <c r="AQ83" s="16" t="e">
        <f t="shared" si="107"/>
        <v>#DIV/0!</v>
      </c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</row>
    <row r="84" spans="1:54" customFormat="1">
      <c r="A84" s="2"/>
      <c r="B84" s="3"/>
      <c r="H84" s="21">
        <f t="shared" si="88"/>
        <v>0</v>
      </c>
      <c r="I84" s="21">
        <f t="shared" si="85"/>
        <v>0</v>
      </c>
      <c r="J84" s="22" t="str">
        <f t="shared" si="34"/>
        <v xml:space="preserve"> </v>
      </c>
      <c r="K84" s="22" t="str">
        <f t="shared" si="35"/>
        <v xml:space="preserve"> </v>
      </c>
      <c r="L84" s="16" t="e">
        <f t="shared" si="89"/>
        <v>#NUM!</v>
      </c>
      <c r="M84" s="16" t="e">
        <f t="shared" si="90"/>
        <v>#NUM!</v>
      </c>
      <c r="N84" s="16" t="e">
        <f t="shared" si="97"/>
        <v>#NUM!</v>
      </c>
      <c r="O84" s="16" t="e">
        <f t="shared" si="98"/>
        <v>#NUM!</v>
      </c>
      <c r="P84" s="16" t="e">
        <f t="shared" si="91"/>
        <v>#VALUE!</v>
      </c>
      <c r="Q84" s="16" t="e">
        <f t="shared" si="92"/>
        <v>#NUM!</v>
      </c>
      <c r="R84" s="16" t="e">
        <f t="shared" si="93"/>
        <v>#NUM!</v>
      </c>
      <c r="S84" s="16" t="e">
        <f t="shared" si="94"/>
        <v>#NUM!</v>
      </c>
      <c r="T84" s="16" t="e">
        <f t="shared" si="95"/>
        <v>#NUM!</v>
      </c>
      <c r="U84" s="16"/>
      <c r="V84" s="16">
        <f t="shared" si="86"/>
        <v>0</v>
      </c>
      <c r="W84" s="16" t="e">
        <f t="shared" ref="W84:AQ84" si="108">9.81/(2*PI())*$E$9^2*TANH(2*PI()*$H84/V84)</f>
        <v>#DIV/0!</v>
      </c>
      <c r="X84" s="16" t="e">
        <f t="shared" si="108"/>
        <v>#DIV/0!</v>
      </c>
      <c r="Y84" s="16" t="e">
        <f t="shared" si="108"/>
        <v>#DIV/0!</v>
      </c>
      <c r="Z84" s="16" t="e">
        <f t="shared" si="108"/>
        <v>#DIV/0!</v>
      </c>
      <c r="AA84" s="16" t="e">
        <f t="shared" si="108"/>
        <v>#DIV/0!</v>
      </c>
      <c r="AB84" s="16" t="e">
        <f t="shared" si="108"/>
        <v>#DIV/0!</v>
      </c>
      <c r="AC84" s="16" t="e">
        <f t="shared" si="108"/>
        <v>#DIV/0!</v>
      </c>
      <c r="AD84" s="16" t="e">
        <f t="shared" si="108"/>
        <v>#DIV/0!</v>
      </c>
      <c r="AE84" s="16" t="e">
        <f t="shared" si="108"/>
        <v>#DIV/0!</v>
      </c>
      <c r="AF84" s="16" t="e">
        <f t="shared" si="108"/>
        <v>#DIV/0!</v>
      </c>
      <c r="AG84" s="16" t="e">
        <f t="shared" si="108"/>
        <v>#DIV/0!</v>
      </c>
      <c r="AH84" s="16" t="e">
        <f t="shared" si="108"/>
        <v>#DIV/0!</v>
      </c>
      <c r="AI84" s="16" t="e">
        <f t="shared" si="108"/>
        <v>#DIV/0!</v>
      </c>
      <c r="AJ84" s="16" t="e">
        <f t="shared" si="108"/>
        <v>#DIV/0!</v>
      </c>
      <c r="AK84" s="16" t="e">
        <f t="shared" si="108"/>
        <v>#DIV/0!</v>
      </c>
      <c r="AL84" s="16" t="e">
        <f t="shared" si="108"/>
        <v>#DIV/0!</v>
      </c>
      <c r="AM84" s="16" t="e">
        <f t="shared" si="108"/>
        <v>#DIV/0!</v>
      </c>
      <c r="AN84" s="16" t="e">
        <f t="shared" si="108"/>
        <v>#DIV/0!</v>
      </c>
      <c r="AO84" s="16" t="e">
        <f t="shared" si="108"/>
        <v>#DIV/0!</v>
      </c>
      <c r="AP84" s="16" t="e">
        <f t="shared" si="108"/>
        <v>#DIV/0!</v>
      </c>
      <c r="AQ84" s="16" t="e">
        <f t="shared" si="108"/>
        <v>#DIV/0!</v>
      </c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</row>
    <row r="85" spans="1:54" customFormat="1">
      <c r="A85" s="2"/>
      <c r="B85" s="3"/>
      <c r="H85" s="21">
        <f t="shared" si="88"/>
        <v>0</v>
      </c>
      <c r="I85" s="21">
        <f t="shared" si="85"/>
        <v>0</v>
      </c>
      <c r="J85" s="22" t="str">
        <f t="shared" si="34"/>
        <v xml:space="preserve"> </v>
      </c>
      <c r="K85" s="22" t="str">
        <f t="shared" si="35"/>
        <v xml:space="preserve"> </v>
      </c>
      <c r="L85" s="16" t="e">
        <f t="shared" si="89"/>
        <v>#NUM!</v>
      </c>
      <c r="M85" s="16" t="e">
        <f t="shared" si="90"/>
        <v>#NUM!</v>
      </c>
      <c r="N85" s="16" t="e">
        <f t="shared" si="97"/>
        <v>#NUM!</v>
      </c>
      <c r="O85" s="16" t="e">
        <f t="shared" si="98"/>
        <v>#NUM!</v>
      </c>
      <c r="P85" s="16" t="e">
        <f t="shared" si="91"/>
        <v>#VALUE!</v>
      </c>
      <c r="Q85" s="16" t="e">
        <f t="shared" si="92"/>
        <v>#NUM!</v>
      </c>
      <c r="R85" s="16" t="e">
        <f t="shared" si="93"/>
        <v>#NUM!</v>
      </c>
      <c r="S85" s="16" t="e">
        <f t="shared" si="94"/>
        <v>#NUM!</v>
      </c>
      <c r="T85" s="16" t="e">
        <f t="shared" si="95"/>
        <v>#NUM!</v>
      </c>
      <c r="U85" s="16"/>
      <c r="V85" s="16">
        <f t="shared" si="86"/>
        <v>0</v>
      </c>
      <c r="W85" s="16" t="e">
        <f t="shared" ref="W85:AQ85" si="109">9.81/(2*PI())*$E$9^2*TANH(2*PI()*$H85/V85)</f>
        <v>#DIV/0!</v>
      </c>
      <c r="X85" s="16" t="e">
        <f t="shared" si="109"/>
        <v>#DIV/0!</v>
      </c>
      <c r="Y85" s="16" t="e">
        <f t="shared" si="109"/>
        <v>#DIV/0!</v>
      </c>
      <c r="Z85" s="16" t="e">
        <f t="shared" si="109"/>
        <v>#DIV/0!</v>
      </c>
      <c r="AA85" s="16" t="e">
        <f t="shared" si="109"/>
        <v>#DIV/0!</v>
      </c>
      <c r="AB85" s="16" t="e">
        <f t="shared" si="109"/>
        <v>#DIV/0!</v>
      </c>
      <c r="AC85" s="16" t="e">
        <f t="shared" si="109"/>
        <v>#DIV/0!</v>
      </c>
      <c r="AD85" s="16" t="e">
        <f t="shared" si="109"/>
        <v>#DIV/0!</v>
      </c>
      <c r="AE85" s="16" t="e">
        <f t="shared" si="109"/>
        <v>#DIV/0!</v>
      </c>
      <c r="AF85" s="16" t="e">
        <f t="shared" si="109"/>
        <v>#DIV/0!</v>
      </c>
      <c r="AG85" s="16" t="e">
        <f t="shared" si="109"/>
        <v>#DIV/0!</v>
      </c>
      <c r="AH85" s="16" t="e">
        <f t="shared" si="109"/>
        <v>#DIV/0!</v>
      </c>
      <c r="AI85" s="16" t="e">
        <f t="shared" si="109"/>
        <v>#DIV/0!</v>
      </c>
      <c r="AJ85" s="16" t="e">
        <f t="shared" si="109"/>
        <v>#DIV/0!</v>
      </c>
      <c r="AK85" s="16" t="e">
        <f t="shared" si="109"/>
        <v>#DIV/0!</v>
      </c>
      <c r="AL85" s="16" t="e">
        <f t="shared" si="109"/>
        <v>#DIV/0!</v>
      </c>
      <c r="AM85" s="16" t="e">
        <f t="shared" si="109"/>
        <v>#DIV/0!</v>
      </c>
      <c r="AN85" s="16" t="e">
        <f t="shared" si="109"/>
        <v>#DIV/0!</v>
      </c>
      <c r="AO85" s="16" t="e">
        <f t="shared" si="109"/>
        <v>#DIV/0!</v>
      </c>
      <c r="AP85" s="16" t="e">
        <f t="shared" si="109"/>
        <v>#DIV/0!</v>
      </c>
      <c r="AQ85" s="16" t="e">
        <f t="shared" si="109"/>
        <v>#DIV/0!</v>
      </c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</row>
    <row r="86" spans="1:54" customFormat="1">
      <c r="A86" s="2"/>
      <c r="B86" s="3"/>
      <c r="H86" s="21">
        <f t="shared" si="88"/>
        <v>0</v>
      </c>
      <c r="I86" s="21">
        <f t="shared" si="85"/>
        <v>0</v>
      </c>
      <c r="J86" s="22" t="str">
        <f t="shared" si="34"/>
        <v xml:space="preserve"> </v>
      </c>
      <c r="K86" s="22" t="str">
        <f t="shared" si="35"/>
        <v xml:space="preserve"> </v>
      </c>
      <c r="L86" s="16" t="e">
        <f t="shared" si="89"/>
        <v>#NUM!</v>
      </c>
      <c r="M86" s="16" t="e">
        <f t="shared" si="90"/>
        <v>#NUM!</v>
      </c>
      <c r="N86" s="16" t="e">
        <f t="shared" si="97"/>
        <v>#NUM!</v>
      </c>
      <c r="O86" s="16" t="e">
        <f t="shared" si="98"/>
        <v>#NUM!</v>
      </c>
      <c r="P86" s="16" t="e">
        <f t="shared" si="91"/>
        <v>#VALUE!</v>
      </c>
      <c r="Q86" s="16" t="e">
        <f t="shared" si="92"/>
        <v>#NUM!</v>
      </c>
      <c r="R86" s="16" t="e">
        <f t="shared" si="93"/>
        <v>#NUM!</v>
      </c>
      <c r="S86" s="16" t="e">
        <f t="shared" si="94"/>
        <v>#NUM!</v>
      </c>
      <c r="T86" s="16" t="e">
        <f t="shared" si="95"/>
        <v>#NUM!</v>
      </c>
      <c r="U86" s="16"/>
      <c r="V86" s="16">
        <f t="shared" si="86"/>
        <v>0</v>
      </c>
      <c r="W86" s="16" t="e">
        <f t="shared" ref="W86:AQ86" si="110">9.81/(2*PI())*$E$9^2*TANH(2*PI()*$H86/V86)</f>
        <v>#DIV/0!</v>
      </c>
      <c r="X86" s="16" t="e">
        <f t="shared" si="110"/>
        <v>#DIV/0!</v>
      </c>
      <c r="Y86" s="16" t="e">
        <f t="shared" si="110"/>
        <v>#DIV/0!</v>
      </c>
      <c r="Z86" s="16" t="e">
        <f t="shared" si="110"/>
        <v>#DIV/0!</v>
      </c>
      <c r="AA86" s="16" t="e">
        <f t="shared" si="110"/>
        <v>#DIV/0!</v>
      </c>
      <c r="AB86" s="16" t="e">
        <f t="shared" si="110"/>
        <v>#DIV/0!</v>
      </c>
      <c r="AC86" s="16" t="e">
        <f t="shared" si="110"/>
        <v>#DIV/0!</v>
      </c>
      <c r="AD86" s="16" t="e">
        <f t="shared" si="110"/>
        <v>#DIV/0!</v>
      </c>
      <c r="AE86" s="16" t="e">
        <f t="shared" si="110"/>
        <v>#DIV/0!</v>
      </c>
      <c r="AF86" s="16" t="e">
        <f t="shared" si="110"/>
        <v>#DIV/0!</v>
      </c>
      <c r="AG86" s="16" t="e">
        <f t="shared" si="110"/>
        <v>#DIV/0!</v>
      </c>
      <c r="AH86" s="16" t="e">
        <f t="shared" si="110"/>
        <v>#DIV/0!</v>
      </c>
      <c r="AI86" s="16" t="e">
        <f t="shared" si="110"/>
        <v>#DIV/0!</v>
      </c>
      <c r="AJ86" s="16" t="e">
        <f t="shared" si="110"/>
        <v>#DIV/0!</v>
      </c>
      <c r="AK86" s="16" t="e">
        <f t="shared" si="110"/>
        <v>#DIV/0!</v>
      </c>
      <c r="AL86" s="16" t="e">
        <f t="shared" si="110"/>
        <v>#DIV/0!</v>
      </c>
      <c r="AM86" s="16" t="e">
        <f t="shared" si="110"/>
        <v>#DIV/0!</v>
      </c>
      <c r="AN86" s="16" t="e">
        <f t="shared" si="110"/>
        <v>#DIV/0!</v>
      </c>
      <c r="AO86" s="16" t="e">
        <f t="shared" si="110"/>
        <v>#DIV/0!</v>
      </c>
      <c r="AP86" s="16" t="e">
        <f t="shared" si="110"/>
        <v>#DIV/0!</v>
      </c>
      <c r="AQ86" s="16" t="e">
        <f t="shared" si="110"/>
        <v>#DIV/0!</v>
      </c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</row>
    <row r="87" spans="1:54" customFormat="1">
      <c r="A87" s="2"/>
      <c r="B87" s="3"/>
      <c r="H87" s="21">
        <f t="shared" si="88"/>
        <v>0</v>
      </c>
      <c r="I87" s="21">
        <f t="shared" si="85"/>
        <v>0</v>
      </c>
      <c r="J87" s="22" t="str">
        <f t="shared" si="34"/>
        <v xml:space="preserve"> </v>
      </c>
      <c r="K87" s="22" t="str">
        <f t="shared" si="35"/>
        <v xml:space="preserve"> </v>
      </c>
      <c r="L87" s="16" t="e">
        <f t="shared" si="89"/>
        <v>#NUM!</v>
      </c>
      <c r="M87" s="16" t="e">
        <f t="shared" si="90"/>
        <v>#NUM!</v>
      </c>
      <c r="N87" s="16" t="e">
        <f t="shared" si="97"/>
        <v>#NUM!</v>
      </c>
      <c r="O87" s="16" t="e">
        <f t="shared" si="98"/>
        <v>#NUM!</v>
      </c>
      <c r="P87" s="16" t="e">
        <f t="shared" si="91"/>
        <v>#VALUE!</v>
      </c>
      <c r="Q87" s="16" t="e">
        <f t="shared" si="92"/>
        <v>#NUM!</v>
      </c>
      <c r="R87" s="16" t="e">
        <f t="shared" si="93"/>
        <v>#NUM!</v>
      </c>
      <c r="S87" s="16" t="e">
        <f t="shared" si="94"/>
        <v>#NUM!</v>
      </c>
      <c r="T87" s="16" t="e">
        <f t="shared" si="95"/>
        <v>#NUM!</v>
      </c>
      <c r="U87" s="16"/>
      <c r="V87" s="16">
        <f t="shared" si="86"/>
        <v>0</v>
      </c>
      <c r="W87" s="16" t="e">
        <f t="shared" ref="W87:AQ87" si="111">9.81/(2*PI())*$E$9^2*TANH(2*PI()*$H87/V87)</f>
        <v>#DIV/0!</v>
      </c>
      <c r="X87" s="16" t="e">
        <f t="shared" si="111"/>
        <v>#DIV/0!</v>
      </c>
      <c r="Y87" s="16" t="e">
        <f t="shared" si="111"/>
        <v>#DIV/0!</v>
      </c>
      <c r="Z87" s="16" t="e">
        <f t="shared" si="111"/>
        <v>#DIV/0!</v>
      </c>
      <c r="AA87" s="16" t="e">
        <f t="shared" si="111"/>
        <v>#DIV/0!</v>
      </c>
      <c r="AB87" s="16" t="e">
        <f t="shared" si="111"/>
        <v>#DIV/0!</v>
      </c>
      <c r="AC87" s="16" t="e">
        <f t="shared" si="111"/>
        <v>#DIV/0!</v>
      </c>
      <c r="AD87" s="16" t="e">
        <f t="shared" si="111"/>
        <v>#DIV/0!</v>
      </c>
      <c r="AE87" s="16" t="e">
        <f t="shared" si="111"/>
        <v>#DIV/0!</v>
      </c>
      <c r="AF87" s="16" t="e">
        <f t="shared" si="111"/>
        <v>#DIV/0!</v>
      </c>
      <c r="AG87" s="16" t="e">
        <f t="shared" si="111"/>
        <v>#DIV/0!</v>
      </c>
      <c r="AH87" s="16" t="e">
        <f t="shared" si="111"/>
        <v>#DIV/0!</v>
      </c>
      <c r="AI87" s="16" t="e">
        <f t="shared" si="111"/>
        <v>#DIV/0!</v>
      </c>
      <c r="AJ87" s="16" t="e">
        <f t="shared" si="111"/>
        <v>#DIV/0!</v>
      </c>
      <c r="AK87" s="16" t="e">
        <f t="shared" si="111"/>
        <v>#DIV/0!</v>
      </c>
      <c r="AL87" s="16" t="e">
        <f t="shared" si="111"/>
        <v>#DIV/0!</v>
      </c>
      <c r="AM87" s="16" t="e">
        <f t="shared" si="111"/>
        <v>#DIV/0!</v>
      </c>
      <c r="AN87" s="16" t="e">
        <f t="shared" si="111"/>
        <v>#DIV/0!</v>
      </c>
      <c r="AO87" s="16" t="e">
        <f t="shared" si="111"/>
        <v>#DIV/0!</v>
      </c>
      <c r="AP87" s="16" t="e">
        <f t="shared" si="111"/>
        <v>#DIV/0!</v>
      </c>
      <c r="AQ87" s="16" t="e">
        <f t="shared" si="111"/>
        <v>#DIV/0!</v>
      </c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</row>
    <row r="88" spans="1:54" customFormat="1">
      <c r="A88" s="2"/>
      <c r="B88" s="3"/>
      <c r="H88" s="21">
        <f t="shared" si="88"/>
        <v>0</v>
      </c>
      <c r="I88" s="21">
        <f t="shared" si="85"/>
        <v>0</v>
      </c>
      <c r="J88" s="22" t="str">
        <f t="shared" si="34"/>
        <v xml:space="preserve"> </v>
      </c>
      <c r="K88" s="22" t="str">
        <f t="shared" si="35"/>
        <v xml:space="preserve"> </v>
      </c>
      <c r="L88" s="16" t="e">
        <f t="shared" si="89"/>
        <v>#NUM!</v>
      </c>
      <c r="M88" s="16" t="e">
        <f t="shared" si="90"/>
        <v>#NUM!</v>
      </c>
      <c r="N88" s="16" t="e">
        <f t="shared" si="97"/>
        <v>#NUM!</v>
      </c>
      <c r="O88" s="16" t="e">
        <f t="shared" si="98"/>
        <v>#NUM!</v>
      </c>
      <c r="P88" s="16" t="e">
        <f t="shared" si="91"/>
        <v>#VALUE!</v>
      </c>
      <c r="Q88" s="16" t="e">
        <f t="shared" si="92"/>
        <v>#NUM!</v>
      </c>
      <c r="R88" s="16" t="e">
        <f t="shared" si="93"/>
        <v>#NUM!</v>
      </c>
      <c r="S88" s="16" t="e">
        <f t="shared" si="94"/>
        <v>#NUM!</v>
      </c>
      <c r="T88" s="16" t="e">
        <f t="shared" si="95"/>
        <v>#NUM!</v>
      </c>
      <c r="U88" s="16"/>
      <c r="V88" s="16">
        <f t="shared" si="86"/>
        <v>0</v>
      </c>
      <c r="W88" s="16" t="e">
        <f t="shared" ref="W88:AQ88" si="112">9.81/(2*PI())*$E$9^2*TANH(2*PI()*$H88/V88)</f>
        <v>#DIV/0!</v>
      </c>
      <c r="X88" s="16" t="e">
        <f t="shared" si="112"/>
        <v>#DIV/0!</v>
      </c>
      <c r="Y88" s="16" t="e">
        <f t="shared" si="112"/>
        <v>#DIV/0!</v>
      </c>
      <c r="Z88" s="16" t="e">
        <f t="shared" si="112"/>
        <v>#DIV/0!</v>
      </c>
      <c r="AA88" s="16" t="e">
        <f t="shared" si="112"/>
        <v>#DIV/0!</v>
      </c>
      <c r="AB88" s="16" t="e">
        <f t="shared" si="112"/>
        <v>#DIV/0!</v>
      </c>
      <c r="AC88" s="16" t="e">
        <f t="shared" si="112"/>
        <v>#DIV/0!</v>
      </c>
      <c r="AD88" s="16" t="e">
        <f t="shared" si="112"/>
        <v>#DIV/0!</v>
      </c>
      <c r="AE88" s="16" t="e">
        <f t="shared" si="112"/>
        <v>#DIV/0!</v>
      </c>
      <c r="AF88" s="16" t="e">
        <f t="shared" si="112"/>
        <v>#DIV/0!</v>
      </c>
      <c r="AG88" s="16" t="e">
        <f t="shared" si="112"/>
        <v>#DIV/0!</v>
      </c>
      <c r="AH88" s="16" t="e">
        <f t="shared" si="112"/>
        <v>#DIV/0!</v>
      </c>
      <c r="AI88" s="16" t="e">
        <f t="shared" si="112"/>
        <v>#DIV/0!</v>
      </c>
      <c r="AJ88" s="16" t="e">
        <f t="shared" si="112"/>
        <v>#DIV/0!</v>
      </c>
      <c r="AK88" s="16" t="e">
        <f t="shared" si="112"/>
        <v>#DIV/0!</v>
      </c>
      <c r="AL88" s="16" t="e">
        <f t="shared" si="112"/>
        <v>#DIV/0!</v>
      </c>
      <c r="AM88" s="16" t="e">
        <f t="shared" si="112"/>
        <v>#DIV/0!</v>
      </c>
      <c r="AN88" s="16" t="e">
        <f t="shared" si="112"/>
        <v>#DIV/0!</v>
      </c>
      <c r="AO88" s="16" t="e">
        <f t="shared" si="112"/>
        <v>#DIV/0!</v>
      </c>
      <c r="AP88" s="16" t="e">
        <f t="shared" si="112"/>
        <v>#DIV/0!</v>
      </c>
      <c r="AQ88" s="16" t="e">
        <f t="shared" si="112"/>
        <v>#DIV/0!</v>
      </c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</row>
    <row r="89" spans="1:54" customFormat="1">
      <c r="A89" s="2"/>
      <c r="B89" s="3"/>
      <c r="H89" s="21">
        <f t="shared" si="88"/>
        <v>0</v>
      </c>
      <c r="I89" s="21">
        <f t="shared" si="85"/>
        <v>0</v>
      </c>
      <c r="J89" s="22" t="str">
        <f t="shared" si="34"/>
        <v xml:space="preserve"> </v>
      </c>
      <c r="K89" s="22" t="str">
        <f t="shared" si="35"/>
        <v xml:space="preserve"> </v>
      </c>
      <c r="L89" s="16" t="e">
        <f t="shared" si="89"/>
        <v>#NUM!</v>
      </c>
      <c r="M89" s="16" t="e">
        <f t="shared" si="90"/>
        <v>#NUM!</v>
      </c>
      <c r="N89" s="16" t="e">
        <f t="shared" si="97"/>
        <v>#NUM!</v>
      </c>
      <c r="O89" s="16" t="e">
        <f t="shared" si="98"/>
        <v>#NUM!</v>
      </c>
      <c r="P89" s="16" t="e">
        <f t="shared" si="91"/>
        <v>#VALUE!</v>
      </c>
      <c r="Q89" s="16" t="e">
        <f t="shared" si="92"/>
        <v>#NUM!</v>
      </c>
      <c r="R89" s="16" t="e">
        <f t="shared" si="93"/>
        <v>#NUM!</v>
      </c>
      <c r="S89" s="16" t="e">
        <f t="shared" si="94"/>
        <v>#NUM!</v>
      </c>
      <c r="T89" s="16" t="e">
        <f t="shared" si="95"/>
        <v>#NUM!</v>
      </c>
      <c r="U89" s="16"/>
      <c r="V89" s="16">
        <f t="shared" si="86"/>
        <v>0</v>
      </c>
      <c r="W89" s="16" t="e">
        <f t="shared" ref="W89:AQ89" si="113">9.81/(2*PI())*$E$9^2*TANH(2*PI()*$H89/V89)</f>
        <v>#DIV/0!</v>
      </c>
      <c r="X89" s="16" t="e">
        <f t="shared" si="113"/>
        <v>#DIV/0!</v>
      </c>
      <c r="Y89" s="16" t="e">
        <f t="shared" si="113"/>
        <v>#DIV/0!</v>
      </c>
      <c r="Z89" s="16" t="e">
        <f t="shared" si="113"/>
        <v>#DIV/0!</v>
      </c>
      <c r="AA89" s="16" t="e">
        <f t="shared" si="113"/>
        <v>#DIV/0!</v>
      </c>
      <c r="AB89" s="16" t="e">
        <f t="shared" si="113"/>
        <v>#DIV/0!</v>
      </c>
      <c r="AC89" s="16" t="e">
        <f t="shared" si="113"/>
        <v>#DIV/0!</v>
      </c>
      <c r="AD89" s="16" t="e">
        <f t="shared" si="113"/>
        <v>#DIV/0!</v>
      </c>
      <c r="AE89" s="16" t="e">
        <f t="shared" si="113"/>
        <v>#DIV/0!</v>
      </c>
      <c r="AF89" s="16" t="e">
        <f t="shared" si="113"/>
        <v>#DIV/0!</v>
      </c>
      <c r="AG89" s="16" t="e">
        <f t="shared" si="113"/>
        <v>#DIV/0!</v>
      </c>
      <c r="AH89" s="16" t="e">
        <f t="shared" si="113"/>
        <v>#DIV/0!</v>
      </c>
      <c r="AI89" s="16" t="e">
        <f t="shared" si="113"/>
        <v>#DIV/0!</v>
      </c>
      <c r="AJ89" s="16" t="e">
        <f t="shared" si="113"/>
        <v>#DIV/0!</v>
      </c>
      <c r="AK89" s="16" t="e">
        <f t="shared" si="113"/>
        <v>#DIV/0!</v>
      </c>
      <c r="AL89" s="16" t="e">
        <f t="shared" si="113"/>
        <v>#DIV/0!</v>
      </c>
      <c r="AM89" s="16" t="e">
        <f t="shared" si="113"/>
        <v>#DIV/0!</v>
      </c>
      <c r="AN89" s="16" t="e">
        <f t="shared" si="113"/>
        <v>#DIV/0!</v>
      </c>
      <c r="AO89" s="16" t="e">
        <f t="shared" si="113"/>
        <v>#DIV/0!</v>
      </c>
      <c r="AP89" s="16" t="e">
        <f t="shared" si="113"/>
        <v>#DIV/0!</v>
      </c>
      <c r="AQ89" s="16" t="e">
        <f t="shared" si="113"/>
        <v>#DIV/0!</v>
      </c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</row>
    <row r="90" spans="1:54" customFormat="1">
      <c r="A90" s="2"/>
      <c r="B90" s="3"/>
      <c r="H90" s="21">
        <f t="shared" si="88"/>
        <v>0</v>
      </c>
      <c r="I90" s="21">
        <f t="shared" si="85"/>
        <v>0</v>
      </c>
      <c r="J90" s="22" t="str">
        <f t="shared" si="34"/>
        <v xml:space="preserve"> </v>
      </c>
      <c r="K90" s="22" t="str">
        <f t="shared" si="35"/>
        <v xml:space="preserve"> </v>
      </c>
      <c r="L90" s="16" t="e">
        <f t="shared" si="89"/>
        <v>#NUM!</v>
      </c>
      <c r="M90" s="16" t="e">
        <f t="shared" si="90"/>
        <v>#NUM!</v>
      </c>
      <c r="N90" s="16" t="e">
        <f t="shared" si="97"/>
        <v>#NUM!</v>
      </c>
      <c r="O90" s="16" t="e">
        <f t="shared" si="98"/>
        <v>#NUM!</v>
      </c>
      <c r="P90" s="16" t="e">
        <f t="shared" si="91"/>
        <v>#VALUE!</v>
      </c>
      <c r="Q90" s="16" t="e">
        <f t="shared" si="92"/>
        <v>#NUM!</v>
      </c>
      <c r="R90" s="16" t="e">
        <f t="shared" si="93"/>
        <v>#NUM!</v>
      </c>
      <c r="S90" s="16" t="e">
        <f t="shared" si="94"/>
        <v>#NUM!</v>
      </c>
      <c r="T90" s="16" t="e">
        <f t="shared" si="95"/>
        <v>#NUM!</v>
      </c>
      <c r="U90" s="16"/>
      <c r="V90" s="16">
        <f t="shared" si="86"/>
        <v>0</v>
      </c>
      <c r="W90" s="16" t="e">
        <f t="shared" ref="W90:AQ90" si="114">9.81/(2*PI())*$E$9^2*TANH(2*PI()*$H90/V90)</f>
        <v>#DIV/0!</v>
      </c>
      <c r="X90" s="16" t="e">
        <f t="shared" si="114"/>
        <v>#DIV/0!</v>
      </c>
      <c r="Y90" s="16" t="e">
        <f t="shared" si="114"/>
        <v>#DIV/0!</v>
      </c>
      <c r="Z90" s="16" t="e">
        <f t="shared" si="114"/>
        <v>#DIV/0!</v>
      </c>
      <c r="AA90" s="16" t="e">
        <f t="shared" si="114"/>
        <v>#DIV/0!</v>
      </c>
      <c r="AB90" s="16" t="e">
        <f t="shared" si="114"/>
        <v>#DIV/0!</v>
      </c>
      <c r="AC90" s="16" t="e">
        <f t="shared" si="114"/>
        <v>#DIV/0!</v>
      </c>
      <c r="AD90" s="16" t="e">
        <f t="shared" si="114"/>
        <v>#DIV/0!</v>
      </c>
      <c r="AE90" s="16" t="e">
        <f t="shared" si="114"/>
        <v>#DIV/0!</v>
      </c>
      <c r="AF90" s="16" t="e">
        <f t="shared" si="114"/>
        <v>#DIV/0!</v>
      </c>
      <c r="AG90" s="16" t="e">
        <f t="shared" si="114"/>
        <v>#DIV/0!</v>
      </c>
      <c r="AH90" s="16" t="e">
        <f t="shared" si="114"/>
        <v>#DIV/0!</v>
      </c>
      <c r="AI90" s="16" t="e">
        <f t="shared" si="114"/>
        <v>#DIV/0!</v>
      </c>
      <c r="AJ90" s="16" t="e">
        <f t="shared" si="114"/>
        <v>#DIV/0!</v>
      </c>
      <c r="AK90" s="16" t="e">
        <f t="shared" si="114"/>
        <v>#DIV/0!</v>
      </c>
      <c r="AL90" s="16" t="e">
        <f t="shared" si="114"/>
        <v>#DIV/0!</v>
      </c>
      <c r="AM90" s="16" t="e">
        <f t="shared" si="114"/>
        <v>#DIV/0!</v>
      </c>
      <c r="AN90" s="16" t="e">
        <f t="shared" si="114"/>
        <v>#DIV/0!</v>
      </c>
      <c r="AO90" s="16" t="e">
        <f t="shared" si="114"/>
        <v>#DIV/0!</v>
      </c>
      <c r="AP90" s="16" t="e">
        <f t="shared" si="114"/>
        <v>#DIV/0!</v>
      </c>
      <c r="AQ90" s="16" t="e">
        <f t="shared" si="114"/>
        <v>#DIV/0!</v>
      </c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</row>
    <row r="91" spans="1:54" customFormat="1">
      <c r="A91" s="2"/>
      <c r="B91" s="3"/>
      <c r="H91" s="21">
        <f t="shared" si="88"/>
        <v>0</v>
      </c>
      <c r="I91" s="21">
        <f t="shared" si="85"/>
        <v>0</v>
      </c>
      <c r="J91" s="22" t="str">
        <f t="shared" si="34"/>
        <v xml:space="preserve"> </v>
      </c>
      <c r="K91" s="22" t="str">
        <f t="shared" si="35"/>
        <v xml:space="preserve"> </v>
      </c>
      <c r="L91" s="16" t="e">
        <f t="shared" si="89"/>
        <v>#NUM!</v>
      </c>
      <c r="M91" s="16" t="e">
        <f t="shared" si="90"/>
        <v>#NUM!</v>
      </c>
      <c r="N91" s="16" t="e">
        <f t="shared" si="97"/>
        <v>#NUM!</v>
      </c>
      <c r="O91" s="16" t="e">
        <f t="shared" si="98"/>
        <v>#NUM!</v>
      </c>
      <c r="P91" s="16" t="e">
        <f t="shared" si="91"/>
        <v>#VALUE!</v>
      </c>
      <c r="Q91" s="16" t="e">
        <f t="shared" si="92"/>
        <v>#NUM!</v>
      </c>
      <c r="R91" s="16" t="e">
        <f t="shared" si="93"/>
        <v>#NUM!</v>
      </c>
      <c r="S91" s="16" t="e">
        <f t="shared" si="94"/>
        <v>#NUM!</v>
      </c>
      <c r="T91" s="16" t="e">
        <f t="shared" si="95"/>
        <v>#NUM!</v>
      </c>
      <c r="U91" s="16"/>
      <c r="V91" s="16">
        <f t="shared" si="86"/>
        <v>0</v>
      </c>
      <c r="W91" s="16" t="e">
        <f t="shared" ref="W91:AQ91" si="115">9.81/(2*PI())*$E$9^2*TANH(2*PI()*$H91/V91)</f>
        <v>#DIV/0!</v>
      </c>
      <c r="X91" s="16" t="e">
        <f t="shared" si="115"/>
        <v>#DIV/0!</v>
      </c>
      <c r="Y91" s="16" t="e">
        <f t="shared" si="115"/>
        <v>#DIV/0!</v>
      </c>
      <c r="Z91" s="16" t="e">
        <f t="shared" si="115"/>
        <v>#DIV/0!</v>
      </c>
      <c r="AA91" s="16" t="e">
        <f t="shared" si="115"/>
        <v>#DIV/0!</v>
      </c>
      <c r="AB91" s="16" t="e">
        <f t="shared" si="115"/>
        <v>#DIV/0!</v>
      </c>
      <c r="AC91" s="16" t="e">
        <f t="shared" si="115"/>
        <v>#DIV/0!</v>
      </c>
      <c r="AD91" s="16" t="e">
        <f t="shared" si="115"/>
        <v>#DIV/0!</v>
      </c>
      <c r="AE91" s="16" t="e">
        <f t="shared" si="115"/>
        <v>#DIV/0!</v>
      </c>
      <c r="AF91" s="16" t="e">
        <f t="shared" si="115"/>
        <v>#DIV/0!</v>
      </c>
      <c r="AG91" s="16" t="e">
        <f t="shared" si="115"/>
        <v>#DIV/0!</v>
      </c>
      <c r="AH91" s="16" t="e">
        <f t="shared" si="115"/>
        <v>#DIV/0!</v>
      </c>
      <c r="AI91" s="16" t="e">
        <f t="shared" si="115"/>
        <v>#DIV/0!</v>
      </c>
      <c r="AJ91" s="16" t="e">
        <f t="shared" si="115"/>
        <v>#DIV/0!</v>
      </c>
      <c r="AK91" s="16" t="e">
        <f t="shared" si="115"/>
        <v>#DIV/0!</v>
      </c>
      <c r="AL91" s="16" t="e">
        <f t="shared" si="115"/>
        <v>#DIV/0!</v>
      </c>
      <c r="AM91" s="16" t="e">
        <f t="shared" si="115"/>
        <v>#DIV/0!</v>
      </c>
      <c r="AN91" s="16" t="e">
        <f t="shared" si="115"/>
        <v>#DIV/0!</v>
      </c>
      <c r="AO91" s="16" t="e">
        <f t="shared" si="115"/>
        <v>#DIV/0!</v>
      </c>
      <c r="AP91" s="16" t="e">
        <f t="shared" si="115"/>
        <v>#DIV/0!</v>
      </c>
      <c r="AQ91" s="16" t="e">
        <f t="shared" si="115"/>
        <v>#DIV/0!</v>
      </c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</row>
    <row r="92" spans="1:54" customFormat="1">
      <c r="A92" s="2"/>
      <c r="B92" s="3"/>
      <c r="H92" s="21">
        <f t="shared" si="88"/>
        <v>0</v>
      </c>
      <c r="I92" s="21">
        <f t="shared" si="85"/>
        <v>0</v>
      </c>
      <c r="J92" s="22" t="str">
        <f t="shared" ref="J92:J100" si="116">IF(B92&gt;=0," ",K92/K$9)</f>
        <v xml:space="preserve"> </v>
      </c>
      <c r="K92" s="22" t="str">
        <f t="shared" ref="K92:K100" si="117">IF(B92&gt;=0," ",L92/L$9)</f>
        <v xml:space="preserve"> </v>
      </c>
      <c r="L92" s="16" t="e">
        <f t="shared" si="89"/>
        <v>#NUM!</v>
      </c>
      <c r="M92" s="16" t="e">
        <f t="shared" si="90"/>
        <v>#NUM!</v>
      </c>
      <c r="N92" s="16" t="e">
        <f t="shared" si="97"/>
        <v>#NUM!</v>
      </c>
      <c r="O92" s="16" t="e">
        <f t="shared" si="98"/>
        <v>#NUM!</v>
      </c>
      <c r="P92" s="16" t="e">
        <f t="shared" si="91"/>
        <v>#VALUE!</v>
      </c>
      <c r="Q92" s="16" t="e">
        <f t="shared" si="92"/>
        <v>#NUM!</v>
      </c>
      <c r="R92" s="16" t="e">
        <f t="shared" si="93"/>
        <v>#NUM!</v>
      </c>
      <c r="S92" s="16" t="e">
        <f t="shared" si="94"/>
        <v>#NUM!</v>
      </c>
      <c r="T92" s="16" t="e">
        <f t="shared" si="95"/>
        <v>#NUM!</v>
      </c>
      <c r="U92" s="16"/>
      <c r="V92" s="16">
        <f t="shared" si="86"/>
        <v>0</v>
      </c>
      <c r="W92" s="16" t="e">
        <f t="shared" ref="W92:AQ92" si="118">9.81/(2*PI())*$E$9^2*TANH(2*PI()*$H92/V92)</f>
        <v>#DIV/0!</v>
      </c>
      <c r="X92" s="16" t="e">
        <f t="shared" si="118"/>
        <v>#DIV/0!</v>
      </c>
      <c r="Y92" s="16" t="e">
        <f t="shared" si="118"/>
        <v>#DIV/0!</v>
      </c>
      <c r="Z92" s="16" t="e">
        <f t="shared" si="118"/>
        <v>#DIV/0!</v>
      </c>
      <c r="AA92" s="16" t="e">
        <f t="shared" si="118"/>
        <v>#DIV/0!</v>
      </c>
      <c r="AB92" s="16" t="e">
        <f t="shared" si="118"/>
        <v>#DIV/0!</v>
      </c>
      <c r="AC92" s="16" t="e">
        <f t="shared" si="118"/>
        <v>#DIV/0!</v>
      </c>
      <c r="AD92" s="16" t="e">
        <f t="shared" si="118"/>
        <v>#DIV/0!</v>
      </c>
      <c r="AE92" s="16" t="e">
        <f t="shared" si="118"/>
        <v>#DIV/0!</v>
      </c>
      <c r="AF92" s="16" t="e">
        <f t="shared" si="118"/>
        <v>#DIV/0!</v>
      </c>
      <c r="AG92" s="16" t="e">
        <f t="shared" si="118"/>
        <v>#DIV/0!</v>
      </c>
      <c r="AH92" s="16" t="e">
        <f t="shared" si="118"/>
        <v>#DIV/0!</v>
      </c>
      <c r="AI92" s="16" t="e">
        <f t="shared" si="118"/>
        <v>#DIV/0!</v>
      </c>
      <c r="AJ92" s="16" t="e">
        <f t="shared" si="118"/>
        <v>#DIV/0!</v>
      </c>
      <c r="AK92" s="16" t="e">
        <f t="shared" si="118"/>
        <v>#DIV/0!</v>
      </c>
      <c r="AL92" s="16" t="e">
        <f t="shared" si="118"/>
        <v>#DIV/0!</v>
      </c>
      <c r="AM92" s="16" t="e">
        <f t="shared" si="118"/>
        <v>#DIV/0!</v>
      </c>
      <c r="AN92" s="16" t="e">
        <f t="shared" si="118"/>
        <v>#DIV/0!</v>
      </c>
      <c r="AO92" s="16" t="e">
        <f t="shared" si="118"/>
        <v>#DIV/0!</v>
      </c>
      <c r="AP92" s="16" t="e">
        <f t="shared" si="118"/>
        <v>#DIV/0!</v>
      </c>
      <c r="AQ92" s="16" t="e">
        <f t="shared" si="118"/>
        <v>#DIV/0!</v>
      </c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</row>
    <row r="93" spans="1:54" customFormat="1">
      <c r="A93" s="2"/>
      <c r="B93" s="3"/>
      <c r="H93" s="21">
        <f t="shared" si="88"/>
        <v>0</v>
      </c>
      <c r="I93" s="21">
        <f t="shared" si="85"/>
        <v>0</v>
      </c>
      <c r="J93" s="22" t="str">
        <f t="shared" si="116"/>
        <v xml:space="preserve"> </v>
      </c>
      <c r="K93" s="22" t="str">
        <f t="shared" si="117"/>
        <v xml:space="preserve"> </v>
      </c>
      <c r="L93" s="16" t="e">
        <f t="shared" si="89"/>
        <v>#NUM!</v>
      </c>
      <c r="M93" s="16" t="e">
        <f t="shared" si="90"/>
        <v>#NUM!</v>
      </c>
      <c r="N93" s="16" t="e">
        <f t="shared" si="97"/>
        <v>#NUM!</v>
      </c>
      <c r="O93" s="16" t="e">
        <f t="shared" si="98"/>
        <v>#NUM!</v>
      </c>
      <c r="P93" s="16" t="e">
        <f t="shared" si="91"/>
        <v>#VALUE!</v>
      </c>
      <c r="Q93" s="16" t="e">
        <f t="shared" si="92"/>
        <v>#NUM!</v>
      </c>
      <c r="R93" s="16" t="e">
        <f t="shared" si="93"/>
        <v>#NUM!</v>
      </c>
      <c r="S93" s="16" t="e">
        <f t="shared" si="94"/>
        <v>#NUM!</v>
      </c>
      <c r="T93" s="16" t="e">
        <f t="shared" si="95"/>
        <v>#NUM!</v>
      </c>
      <c r="U93" s="16"/>
      <c r="V93" s="16">
        <f t="shared" si="86"/>
        <v>0</v>
      </c>
      <c r="W93" s="16" t="e">
        <f t="shared" ref="W93:AQ93" si="119">9.81/(2*PI())*$E$9^2*TANH(2*PI()*$H93/V93)</f>
        <v>#DIV/0!</v>
      </c>
      <c r="X93" s="16" t="e">
        <f t="shared" si="119"/>
        <v>#DIV/0!</v>
      </c>
      <c r="Y93" s="16" t="e">
        <f t="shared" si="119"/>
        <v>#DIV/0!</v>
      </c>
      <c r="Z93" s="16" t="e">
        <f t="shared" si="119"/>
        <v>#DIV/0!</v>
      </c>
      <c r="AA93" s="16" t="e">
        <f t="shared" si="119"/>
        <v>#DIV/0!</v>
      </c>
      <c r="AB93" s="16" t="e">
        <f t="shared" si="119"/>
        <v>#DIV/0!</v>
      </c>
      <c r="AC93" s="16" t="e">
        <f t="shared" si="119"/>
        <v>#DIV/0!</v>
      </c>
      <c r="AD93" s="16" t="e">
        <f t="shared" si="119"/>
        <v>#DIV/0!</v>
      </c>
      <c r="AE93" s="16" t="e">
        <f t="shared" si="119"/>
        <v>#DIV/0!</v>
      </c>
      <c r="AF93" s="16" t="e">
        <f t="shared" si="119"/>
        <v>#DIV/0!</v>
      </c>
      <c r="AG93" s="16" t="e">
        <f t="shared" si="119"/>
        <v>#DIV/0!</v>
      </c>
      <c r="AH93" s="16" t="e">
        <f t="shared" si="119"/>
        <v>#DIV/0!</v>
      </c>
      <c r="AI93" s="16" t="e">
        <f t="shared" si="119"/>
        <v>#DIV/0!</v>
      </c>
      <c r="AJ93" s="16" t="e">
        <f t="shared" si="119"/>
        <v>#DIV/0!</v>
      </c>
      <c r="AK93" s="16" t="e">
        <f t="shared" si="119"/>
        <v>#DIV/0!</v>
      </c>
      <c r="AL93" s="16" t="e">
        <f t="shared" si="119"/>
        <v>#DIV/0!</v>
      </c>
      <c r="AM93" s="16" t="e">
        <f t="shared" si="119"/>
        <v>#DIV/0!</v>
      </c>
      <c r="AN93" s="16" t="e">
        <f t="shared" si="119"/>
        <v>#DIV/0!</v>
      </c>
      <c r="AO93" s="16" t="e">
        <f t="shared" si="119"/>
        <v>#DIV/0!</v>
      </c>
      <c r="AP93" s="16" t="e">
        <f t="shared" si="119"/>
        <v>#DIV/0!</v>
      </c>
      <c r="AQ93" s="16" t="e">
        <f t="shared" si="119"/>
        <v>#DIV/0!</v>
      </c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</row>
    <row r="94" spans="1:54" customFormat="1">
      <c r="A94" s="2"/>
      <c r="B94" s="3"/>
      <c r="H94" s="21">
        <f t="shared" si="88"/>
        <v>0</v>
      </c>
      <c r="I94" s="21">
        <f t="shared" si="85"/>
        <v>0</v>
      </c>
      <c r="J94" s="22" t="str">
        <f t="shared" si="116"/>
        <v xml:space="preserve"> </v>
      </c>
      <c r="K94" s="22" t="str">
        <f t="shared" si="117"/>
        <v xml:space="preserve"> </v>
      </c>
      <c r="L94" s="16" t="e">
        <f t="shared" si="89"/>
        <v>#NUM!</v>
      </c>
      <c r="M94" s="16" t="e">
        <f t="shared" si="90"/>
        <v>#NUM!</v>
      </c>
      <c r="N94" s="16" t="e">
        <f t="shared" si="97"/>
        <v>#NUM!</v>
      </c>
      <c r="O94" s="16" t="e">
        <f t="shared" si="98"/>
        <v>#NUM!</v>
      </c>
      <c r="P94" s="16" t="e">
        <f t="shared" si="91"/>
        <v>#VALUE!</v>
      </c>
      <c r="Q94" s="16" t="e">
        <f t="shared" si="92"/>
        <v>#NUM!</v>
      </c>
      <c r="R94" s="16" t="e">
        <f t="shared" si="93"/>
        <v>#NUM!</v>
      </c>
      <c r="S94" s="16" t="e">
        <f t="shared" si="94"/>
        <v>#NUM!</v>
      </c>
      <c r="T94" s="16" t="e">
        <f t="shared" si="95"/>
        <v>#NUM!</v>
      </c>
      <c r="U94" s="16"/>
      <c r="V94" s="16">
        <f t="shared" si="86"/>
        <v>0</v>
      </c>
      <c r="W94" s="16" t="e">
        <f t="shared" ref="W94:AQ94" si="120">9.81/(2*PI())*$E$9^2*TANH(2*PI()*$H94/V94)</f>
        <v>#DIV/0!</v>
      </c>
      <c r="X94" s="16" t="e">
        <f t="shared" si="120"/>
        <v>#DIV/0!</v>
      </c>
      <c r="Y94" s="16" t="e">
        <f t="shared" si="120"/>
        <v>#DIV/0!</v>
      </c>
      <c r="Z94" s="16" t="e">
        <f t="shared" si="120"/>
        <v>#DIV/0!</v>
      </c>
      <c r="AA94" s="16" t="e">
        <f t="shared" si="120"/>
        <v>#DIV/0!</v>
      </c>
      <c r="AB94" s="16" t="e">
        <f t="shared" si="120"/>
        <v>#DIV/0!</v>
      </c>
      <c r="AC94" s="16" t="e">
        <f t="shared" si="120"/>
        <v>#DIV/0!</v>
      </c>
      <c r="AD94" s="16" t="e">
        <f t="shared" si="120"/>
        <v>#DIV/0!</v>
      </c>
      <c r="AE94" s="16" t="e">
        <f t="shared" si="120"/>
        <v>#DIV/0!</v>
      </c>
      <c r="AF94" s="16" t="e">
        <f t="shared" si="120"/>
        <v>#DIV/0!</v>
      </c>
      <c r="AG94" s="16" t="e">
        <f t="shared" si="120"/>
        <v>#DIV/0!</v>
      </c>
      <c r="AH94" s="16" t="e">
        <f t="shared" si="120"/>
        <v>#DIV/0!</v>
      </c>
      <c r="AI94" s="16" t="e">
        <f t="shared" si="120"/>
        <v>#DIV/0!</v>
      </c>
      <c r="AJ94" s="16" t="e">
        <f t="shared" si="120"/>
        <v>#DIV/0!</v>
      </c>
      <c r="AK94" s="16" t="e">
        <f t="shared" si="120"/>
        <v>#DIV/0!</v>
      </c>
      <c r="AL94" s="16" t="e">
        <f t="shared" si="120"/>
        <v>#DIV/0!</v>
      </c>
      <c r="AM94" s="16" t="e">
        <f t="shared" si="120"/>
        <v>#DIV/0!</v>
      </c>
      <c r="AN94" s="16" t="e">
        <f t="shared" si="120"/>
        <v>#DIV/0!</v>
      </c>
      <c r="AO94" s="16" t="e">
        <f t="shared" si="120"/>
        <v>#DIV/0!</v>
      </c>
      <c r="AP94" s="16" t="e">
        <f t="shared" si="120"/>
        <v>#DIV/0!</v>
      </c>
      <c r="AQ94" s="16" t="e">
        <f t="shared" si="120"/>
        <v>#DIV/0!</v>
      </c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</row>
    <row r="95" spans="1:54" customFormat="1">
      <c r="A95" s="2"/>
      <c r="B95" s="3"/>
      <c r="H95" s="21">
        <f t="shared" si="88"/>
        <v>0</v>
      </c>
      <c r="I95" s="21">
        <f t="shared" si="85"/>
        <v>0</v>
      </c>
      <c r="J95" s="22" t="str">
        <f t="shared" si="116"/>
        <v xml:space="preserve"> </v>
      </c>
      <c r="K95" s="22" t="str">
        <f t="shared" si="117"/>
        <v xml:space="preserve"> </v>
      </c>
      <c r="L95" s="16" t="e">
        <f t="shared" si="89"/>
        <v>#NUM!</v>
      </c>
      <c r="M95" s="16" t="e">
        <f t="shared" si="90"/>
        <v>#NUM!</v>
      </c>
      <c r="N95" s="16" t="e">
        <f t="shared" si="97"/>
        <v>#NUM!</v>
      </c>
      <c r="O95" s="16" t="e">
        <f t="shared" si="98"/>
        <v>#NUM!</v>
      </c>
      <c r="P95" s="16" t="e">
        <f t="shared" si="91"/>
        <v>#VALUE!</v>
      </c>
      <c r="Q95" s="16" t="e">
        <f t="shared" si="92"/>
        <v>#NUM!</v>
      </c>
      <c r="R95" s="16" t="e">
        <f t="shared" si="93"/>
        <v>#NUM!</v>
      </c>
      <c r="S95" s="16" t="e">
        <f t="shared" si="94"/>
        <v>#NUM!</v>
      </c>
      <c r="T95" s="16" t="e">
        <f t="shared" si="95"/>
        <v>#NUM!</v>
      </c>
      <c r="U95" s="16"/>
      <c r="V95" s="16">
        <f t="shared" si="86"/>
        <v>0</v>
      </c>
      <c r="W95" s="16" t="e">
        <f t="shared" ref="W95:AQ95" si="121">9.81/(2*PI())*$E$9^2*TANH(2*PI()*$H95/V95)</f>
        <v>#DIV/0!</v>
      </c>
      <c r="X95" s="16" t="e">
        <f t="shared" si="121"/>
        <v>#DIV/0!</v>
      </c>
      <c r="Y95" s="16" t="e">
        <f t="shared" si="121"/>
        <v>#DIV/0!</v>
      </c>
      <c r="Z95" s="16" t="e">
        <f t="shared" si="121"/>
        <v>#DIV/0!</v>
      </c>
      <c r="AA95" s="16" t="e">
        <f t="shared" si="121"/>
        <v>#DIV/0!</v>
      </c>
      <c r="AB95" s="16" t="e">
        <f t="shared" si="121"/>
        <v>#DIV/0!</v>
      </c>
      <c r="AC95" s="16" t="e">
        <f t="shared" si="121"/>
        <v>#DIV/0!</v>
      </c>
      <c r="AD95" s="16" t="e">
        <f t="shared" si="121"/>
        <v>#DIV/0!</v>
      </c>
      <c r="AE95" s="16" t="e">
        <f t="shared" si="121"/>
        <v>#DIV/0!</v>
      </c>
      <c r="AF95" s="16" t="e">
        <f t="shared" si="121"/>
        <v>#DIV/0!</v>
      </c>
      <c r="AG95" s="16" t="e">
        <f t="shared" si="121"/>
        <v>#DIV/0!</v>
      </c>
      <c r="AH95" s="16" t="e">
        <f t="shared" si="121"/>
        <v>#DIV/0!</v>
      </c>
      <c r="AI95" s="16" t="e">
        <f t="shared" si="121"/>
        <v>#DIV/0!</v>
      </c>
      <c r="AJ95" s="16" t="e">
        <f t="shared" si="121"/>
        <v>#DIV/0!</v>
      </c>
      <c r="AK95" s="16" t="e">
        <f t="shared" si="121"/>
        <v>#DIV/0!</v>
      </c>
      <c r="AL95" s="16" t="e">
        <f t="shared" si="121"/>
        <v>#DIV/0!</v>
      </c>
      <c r="AM95" s="16" t="e">
        <f t="shared" si="121"/>
        <v>#DIV/0!</v>
      </c>
      <c r="AN95" s="16" t="e">
        <f t="shared" si="121"/>
        <v>#DIV/0!</v>
      </c>
      <c r="AO95" s="16" t="e">
        <f t="shared" si="121"/>
        <v>#DIV/0!</v>
      </c>
      <c r="AP95" s="16" t="e">
        <f t="shared" si="121"/>
        <v>#DIV/0!</v>
      </c>
      <c r="AQ95" s="16" t="e">
        <f t="shared" si="121"/>
        <v>#DIV/0!</v>
      </c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</row>
    <row r="96" spans="1:54" customFormat="1">
      <c r="A96" s="2"/>
      <c r="B96" s="3"/>
      <c r="H96" s="21">
        <f t="shared" si="88"/>
        <v>0</v>
      </c>
      <c r="I96" s="21">
        <f t="shared" si="85"/>
        <v>0</v>
      </c>
      <c r="J96" s="22" t="str">
        <f t="shared" si="116"/>
        <v xml:space="preserve"> </v>
      </c>
      <c r="K96" s="22" t="str">
        <f t="shared" si="117"/>
        <v xml:space="preserve"> </v>
      </c>
      <c r="L96" s="16" t="e">
        <f t="shared" si="89"/>
        <v>#NUM!</v>
      </c>
      <c r="M96" s="16" t="e">
        <f t="shared" si="90"/>
        <v>#NUM!</v>
      </c>
      <c r="N96" s="16" t="e">
        <f t="shared" si="97"/>
        <v>#NUM!</v>
      </c>
      <c r="O96" s="16" t="e">
        <f t="shared" si="98"/>
        <v>#NUM!</v>
      </c>
      <c r="P96" s="16" t="e">
        <f t="shared" si="91"/>
        <v>#VALUE!</v>
      </c>
      <c r="Q96" s="16" t="e">
        <f t="shared" si="92"/>
        <v>#NUM!</v>
      </c>
      <c r="R96" s="16" t="e">
        <f t="shared" si="93"/>
        <v>#NUM!</v>
      </c>
      <c r="S96" s="16" t="e">
        <f t="shared" si="94"/>
        <v>#NUM!</v>
      </c>
      <c r="T96" s="16" t="e">
        <f t="shared" si="95"/>
        <v>#NUM!</v>
      </c>
      <c r="U96" s="16"/>
      <c r="V96" s="16">
        <f t="shared" si="86"/>
        <v>0</v>
      </c>
      <c r="W96" s="16" t="e">
        <f t="shared" ref="W96:AQ96" si="122">9.81/(2*PI())*$E$9^2*TANH(2*PI()*$H96/V96)</f>
        <v>#DIV/0!</v>
      </c>
      <c r="X96" s="16" t="e">
        <f t="shared" si="122"/>
        <v>#DIV/0!</v>
      </c>
      <c r="Y96" s="16" t="e">
        <f t="shared" si="122"/>
        <v>#DIV/0!</v>
      </c>
      <c r="Z96" s="16" t="e">
        <f t="shared" si="122"/>
        <v>#DIV/0!</v>
      </c>
      <c r="AA96" s="16" t="e">
        <f t="shared" si="122"/>
        <v>#DIV/0!</v>
      </c>
      <c r="AB96" s="16" t="e">
        <f t="shared" si="122"/>
        <v>#DIV/0!</v>
      </c>
      <c r="AC96" s="16" t="e">
        <f t="shared" si="122"/>
        <v>#DIV/0!</v>
      </c>
      <c r="AD96" s="16" t="e">
        <f t="shared" si="122"/>
        <v>#DIV/0!</v>
      </c>
      <c r="AE96" s="16" t="e">
        <f t="shared" si="122"/>
        <v>#DIV/0!</v>
      </c>
      <c r="AF96" s="16" t="e">
        <f t="shared" si="122"/>
        <v>#DIV/0!</v>
      </c>
      <c r="AG96" s="16" t="e">
        <f t="shared" si="122"/>
        <v>#DIV/0!</v>
      </c>
      <c r="AH96" s="16" t="e">
        <f t="shared" si="122"/>
        <v>#DIV/0!</v>
      </c>
      <c r="AI96" s="16" t="e">
        <f t="shared" si="122"/>
        <v>#DIV/0!</v>
      </c>
      <c r="AJ96" s="16" t="e">
        <f t="shared" si="122"/>
        <v>#DIV/0!</v>
      </c>
      <c r="AK96" s="16" t="e">
        <f t="shared" si="122"/>
        <v>#DIV/0!</v>
      </c>
      <c r="AL96" s="16" t="e">
        <f t="shared" si="122"/>
        <v>#DIV/0!</v>
      </c>
      <c r="AM96" s="16" t="e">
        <f t="shared" si="122"/>
        <v>#DIV/0!</v>
      </c>
      <c r="AN96" s="16" t="e">
        <f t="shared" si="122"/>
        <v>#DIV/0!</v>
      </c>
      <c r="AO96" s="16" t="e">
        <f t="shared" si="122"/>
        <v>#DIV/0!</v>
      </c>
      <c r="AP96" s="16" t="e">
        <f t="shared" si="122"/>
        <v>#DIV/0!</v>
      </c>
      <c r="AQ96" s="16" t="e">
        <f t="shared" si="122"/>
        <v>#DIV/0!</v>
      </c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</row>
    <row r="97" spans="1:54" customFormat="1">
      <c r="A97" s="2"/>
      <c r="B97" s="3"/>
      <c r="H97" s="21">
        <f t="shared" si="88"/>
        <v>0</v>
      </c>
      <c r="I97" s="21">
        <f t="shared" si="85"/>
        <v>0</v>
      </c>
      <c r="J97" s="22" t="str">
        <f t="shared" si="116"/>
        <v xml:space="preserve"> </v>
      </c>
      <c r="K97" s="22" t="str">
        <f t="shared" si="117"/>
        <v xml:space="preserve"> </v>
      </c>
      <c r="L97" s="16" t="e">
        <f t="shared" si="89"/>
        <v>#NUM!</v>
      </c>
      <c r="M97" s="16" t="e">
        <f t="shared" si="90"/>
        <v>#NUM!</v>
      </c>
      <c r="N97" s="16" t="e">
        <f t="shared" si="97"/>
        <v>#NUM!</v>
      </c>
      <c r="O97" s="16" t="e">
        <f t="shared" si="98"/>
        <v>#NUM!</v>
      </c>
      <c r="P97" s="16" t="e">
        <f t="shared" si="91"/>
        <v>#VALUE!</v>
      </c>
      <c r="Q97" s="16" t="e">
        <f t="shared" si="92"/>
        <v>#NUM!</v>
      </c>
      <c r="R97" s="16" t="e">
        <f t="shared" si="93"/>
        <v>#NUM!</v>
      </c>
      <c r="S97" s="16" t="e">
        <f t="shared" si="94"/>
        <v>#NUM!</v>
      </c>
      <c r="T97" s="16" t="e">
        <f t="shared" si="95"/>
        <v>#NUM!</v>
      </c>
      <c r="U97" s="16"/>
      <c r="V97" s="16">
        <f t="shared" si="86"/>
        <v>0</v>
      </c>
      <c r="W97" s="16" t="e">
        <f t="shared" ref="W97:AQ97" si="123">9.81/(2*PI())*$E$9^2*TANH(2*PI()*$H97/V97)</f>
        <v>#DIV/0!</v>
      </c>
      <c r="X97" s="16" t="e">
        <f t="shared" si="123"/>
        <v>#DIV/0!</v>
      </c>
      <c r="Y97" s="16" t="e">
        <f t="shared" si="123"/>
        <v>#DIV/0!</v>
      </c>
      <c r="Z97" s="16" t="e">
        <f t="shared" si="123"/>
        <v>#DIV/0!</v>
      </c>
      <c r="AA97" s="16" t="e">
        <f t="shared" si="123"/>
        <v>#DIV/0!</v>
      </c>
      <c r="AB97" s="16" t="e">
        <f t="shared" si="123"/>
        <v>#DIV/0!</v>
      </c>
      <c r="AC97" s="16" t="e">
        <f t="shared" si="123"/>
        <v>#DIV/0!</v>
      </c>
      <c r="AD97" s="16" t="e">
        <f t="shared" si="123"/>
        <v>#DIV/0!</v>
      </c>
      <c r="AE97" s="16" t="e">
        <f t="shared" si="123"/>
        <v>#DIV/0!</v>
      </c>
      <c r="AF97" s="16" t="e">
        <f t="shared" si="123"/>
        <v>#DIV/0!</v>
      </c>
      <c r="AG97" s="16" t="e">
        <f t="shared" si="123"/>
        <v>#DIV/0!</v>
      </c>
      <c r="AH97" s="16" t="e">
        <f t="shared" si="123"/>
        <v>#DIV/0!</v>
      </c>
      <c r="AI97" s="16" t="e">
        <f t="shared" si="123"/>
        <v>#DIV/0!</v>
      </c>
      <c r="AJ97" s="16" t="e">
        <f t="shared" si="123"/>
        <v>#DIV/0!</v>
      </c>
      <c r="AK97" s="16" t="e">
        <f t="shared" si="123"/>
        <v>#DIV/0!</v>
      </c>
      <c r="AL97" s="16" t="e">
        <f t="shared" si="123"/>
        <v>#DIV/0!</v>
      </c>
      <c r="AM97" s="16" t="e">
        <f t="shared" si="123"/>
        <v>#DIV/0!</v>
      </c>
      <c r="AN97" s="16" t="e">
        <f t="shared" si="123"/>
        <v>#DIV/0!</v>
      </c>
      <c r="AO97" s="16" t="e">
        <f t="shared" si="123"/>
        <v>#DIV/0!</v>
      </c>
      <c r="AP97" s="16" t="e">
        <f t="shared" si="123"/>
        <v>#DIV/0!</v>
      </c>
      <c r="AQ97" s="16" t="e">
        <f t="shared" si="123"/>
        <v>#DIV/0!</v>
      </c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</row>
    <row r="98" spans="1:54" customFormat="1">
      <c r="A98" s="2"/>
      <c r="B98" s="3"/>
      <c r="H98" s="21">
        <f t="shared" si="88"/>
        <v>0</v>
      </c>
      <c r="I98" s="21">
        <f t="shared" si="85"/>
        <v>0</v>
      </c>
      <c r="J98" s="22" t="str">
        <f t="shared" si="116"/>
        <v xml:space="preserve"> </v>
      </c>
      <c r="K98" s="22" t="str">
        <f t="shared" si="117"/>
        <v xml:space="preserve"> </v>
      </c>
      <c r="L98" s="16" t="e">
        <f t="shared" si="89"/>
        <v>#NUM!</v>
      </c>
      <c r="M98" s="16" t="e">
        <f t="shared" si="90"/>
        <v>#NUM!</v>
      </c>
      <c r="N98" s="16" t="e">
        <f t="shared" si="97"/>
        <v>#NUM!</v>
      </c>
      <c r="O98" s="16" t="e">
        <f t="shared" si="98"/>
        <v>#NUM!</v>
      </c>
      <c r="P98" s="16" t="e">
        <f t="shared" si="91"/>
        <v>#VALUE!</v>
      </c>
      <c r="Q98" s="16" t="e">
        <f t="shared" si="92"/>
        <v>#NUM!</v>
      </c>
      <c r="R98" s="16" t="e">
        <f t="shared" si="93"/>
        <v>#NUM!</v>
      </c>
      <c r="S98" s="16" t="e">
        <f t="shared" si="94"/>
        <v>#NUM!</v>
      </c>
      <c r="T98" s="16" t="e">
        <f t="shared" si="95"/>
        <v>#NUM!</v>
      </c>
      <c r="U98" s="16"/>
      <c r="V98" s="16">
        <f t="shared" si="86"/>
        <v>0</v>
      </c>
      <c r="W98" s="16" t="e">
        <f t="shared" ref="W98:AQ98" si="124">9.81/(2*PI())*$E$9^2*TANH(2*PI()*$H98/V98)</f>
        <v>#DIV/0!</v>
      </c>
      <c r="X98" s="16" t="e">
        <f t="shared" si="124"/>
        <v>#DIV/0!</v>
      </c>
      <c r="Y98" s="16" t="e">
        <f t="shared" si="124"/>
        <v>#DIV/0!</v>
      </c>
      <c r="Z98" s="16" t="e">
        <f t="shared" si="124"/>
        <v>#DIV/0!</v>
      </c>
      <c r="AA98" s="16" t="e">
        <f t="shared" si="124"/>
        <v>#DIV/0!</v>
      </c>
      <c r="AB98" s="16" t="e">
        <f t="shared" si="124"/>
        <v>#DIV/0!</v>
      </c>
      <c r="AC98" s="16" t="e">
        <f t="shared" si="124"/>
        <v>#DIV/0!</v>
      </c>
      <c r="AD98" s="16" t="e">
        <f t="shared" si="124"/>
        <v>#DIV/0!</v>
      </c>
      <c r="AE98" s="16" t="e">
        <f t="shared" si="124"/>
        <v>#DIV/0!</v>
      </c>
      <c r="AF98" s="16" t="e">
        <f t="shared" si="124"/>
        <v>#DIV/0!</v>
      </c>
      <c r="AG98" s="16" t="e">
        <f t="shared" si="124"/>
        <v>#DIV/0!</v>
      </c>
      <c r="AH98" s="16" t="e">
        <f t="shared" si="124"/>
        <v>#DIV/0!</v>
      </c>
      <c r="AI98" s="16" t="e">
        <f t="shared" si="124"/>
        <v>#DIV/0!</v>
      </c>
      <c r="AJ98" s="16" t="e">
        <f t="shared" si="124"/>
        <v>#DIV/0!</v>
      </c>
      <c r="AK98" s="16" t="e">
        <f t="shared" si="124"/>
        <v>#DIV/0!</v>
      </c>
      <c r="AL98" s="16" t="e">
        <f t="shared" si="124"/>
        <v>#DIV/0!</v>
      </c>
      <c r="AM98" s="16" t="e">
        <f t="shared" si="124"/>
        <v>#DIV/0!</v>
      </c>
      <c r="AN98" s="16" t="e">
        <f t="shared" si="124"/>
        <v>#DIV/0!</v>
      </c>
      <c r="AO98" s="16" t="e">
        <f t="shared" si="124"/>
        <v>#DIV/0!</v>
      </c>
      <c r="AP98" s="16" t="e">
        <f t="shared" si="124"/>
        <v>#DIV/0!</v>
      </c>
      <c r="AQ98" s="16" t="e">
        <f t="shared" si="124"/>
        <v>#DIV/0!</v>
      </c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</row>
    <row r="99" spans="1:54" customFormat="1">
      <c r="A99" s="2"/>
      <c r="B99" s="3"/>
      <c r="H99" s="21">
        <f t="shared" si="88"/>
        <v>0</v>
      </c>
      <c r="I99" s="21">
        <f t="shared" si="85"/>
        <v>0</v>
      </c>
      <c r="J99" s="22" t="str">
        <f t="shared" si="116"/>
        <v xml:space="preserve"> </v>
      </c>
      <c r="K99" s="22" t="str">
        <f t="shared" si="117"/>
        <v xml:space="preserve"> </v>
      </c>
      <c r="L99" s="16" t="e">
        <f t="shared" si="89"/>
        <v>#NUM!</v>
      </c>
      <c r="M99" s="16" t="e">
        <f t="shared" si="90"/>
        <v>#NUM!</v>
      </c>
      <c r="N99" s="16" t="e">
        <f t="shared" si="97"/>
        <v>#NUM!</v>
      </c>
      <c r="O99" s="16" t="e">
        <f t="shared" si="98"/>
        <v>#NUM!</v>
      </c>
      <c r="P99" s="16" t="e">
        <f t="shared" si="91"/>
        <v>#VALUE!</v>
      </c>
      <c r="Q99" s="16" t="e">
        <f t="shared" si="92"/>
        <v>#NUM!</v>
      </c>
      <c r="R99" s="16" t="e">
        <f t="shared" si="93"/>
        <v>#NUM!</v>
      </c>
      <c r="S99" s="16" t="e">
        <f t="shared" si="94"/>
        <v>#NUM!</v>
      </c>
      <c r="T99" s="16" t="e">
        <f t="shared" si="95"/>
        <v>#NUM!</v>
      </c>
      <c r="U99" s="16"/>
      <c r="V99" s="16">
        <f t="shared" si="86"/>
        <v>0</v>
      </c>
      <c r="W99" s="16" t="e">
        <f t="shared" ref="W99:AQ99" si="125">9.81/(2*PI())*$E$9^2*TANH(2*PI()*$H99/V99)</f>
        <v>#DIV/0!</v>
      </c>
      <c r="X99" s="16" t="e">
        <f t="shared" si="125"/>
        <v>#DIV/0!</v>
      </c>
      <c r="Y99" s="16" t="e">
        <f t="shared" si="125"/>
        <v>#DIV/0!</v>
      </c>
      <c r="Z99" s="16" t="e">
        <f t="shared" si="125"/>
        <v>#DIV/0!</v>
      </c>
      <c r="AA99" s="16" t="e">
        <f t="shared" si="125"/>
        <v>#DIV/0!</v>
      </c>
      <c r="AB99" s="16" t="e">
        <f t="shared" si="125"/>
        <v>#DIV/0!</v>
      </c>
      <c r="AC99" s="16" t="e">
        <f t="shared" si="125"/>
        <v>#DIV/0!</v>
      </c>
      <c r="AD99" s="16" t="e">
        <f t="shared" si="125"/>
        <v>#DIV/0!</v>
      </c>
      <c r="AE99" s="16" t="e">
        <f t="shared" si="125"/>
        <v>#DIV/0!</v>
      </c>
      <c r="AF99" s="16" t="e">
        <f t="shared" si="125"/>
        <v>#DIV/0!</v>
      </c>
      <c r="AG99" s="16" t="e">
        <f t="shared" si="125"/>
        <v>#DIV/0!</v>
      </c>
      <c r="AH99" s="16" t="e">
        <f t="shared" si="125"/>
        <v>#DIV/0!</v>
      </c>
      <c r="AI99" s="16" t="e">
        <f t="shared" si="125"/>
        <v>#DIV/0!</v>
      </c>
      <c r="AJ99" s="16" t="e">
        <f t="shared" si="125"/>
        <v>#DIV/0!</v>
      </c>
      <c r="AK99" s="16" t="e">
        <f t="shared" si="125"/>
        <v>#DIV/0!</v>
      </c>
      <c r="AL99" s="16" t="e">
        <f t="shared" si="125"/>
        <v>#DIV/0!</v>
      </c>
      <c r="AM99" s="16" t="e">
        <f t="shared" si="125"/>
        <v>#DIV/0!</v>
      </c>
      <c r="AN99" s="16" t="e">
        <f t="shared" si="125"/>
        <v>#DIV/0!</v>
      </c>
      <c r="AO99" s="16" t="e">
        <f t="shared" si="125"/>
        <v>#DIV/0!</v>
      </c>
      <c r="AP99" s="16" t="e">
        <f t="shared" si="125"/>
        <v>#DIV/0!</v>
      </c>
      <c r="AQ99" s="16" t="e">
        <f t="shared" si="125"/>
        <v>#DIV/0!</v>
      </c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</row>
    <row r="100" spans="1:54" customFormat="1">
      <c r="A100" s="2"/>
      <c r="B100" s="3"/>
      <c r="H100" s="21">
        <f t="shared" si="88"/>
        <v>0</v>
      </c>
      <c r="I100" s="21">
        <f t="shared" si="85"/>
        <v>0</v>
      </c>
      <c r="J100" s="22" t="str">
        <f t="shared" si="116"/>
        <v xml:space="preserve"> </v>
      </c>
      <c r="K100" s="22" t="str">
        <f t="shared" si="117"/>
        <v xml:space="preserve"> </v>
      </c>
      <c r="L100" s="16" t="e">
        <f t="shared" si="89"/>
        <v>#NUM!</v>
      </c>
      <c r="M100" s="16" t="e">
        <f t="shared" si="90"/>
        <v>#NUM!</v>
      </c>
      <c r="N100" s="16" t="e">
        <f t="shared" si="97"/>
        <v>#NUM!</v>
      </c>
      <c r="O100" s="16" t="e">
        <f t="shared" si="98"/>
        <v>#NUM!</v>
      </c>
      <c r="P100" s="16" t="e">
        <f t="shared" si="91"/>
        <v>#VALUE!</v>
      </c>
      <c r="Q100" s="16" t="e">
        <f t="shared" si="92"/>
        <v>#NUM!</v>
      </c>
      <c r="R100" s="16" t="e">
        <f t="shared" si="93"/>
        <v>#NUM!</v>
      </c>
      <c r="S100" s="16" t="e">
        <f t="shared" si="94"/>
        <v>#NUM!</v>
      </c>
      <c r="T100" s="16" t="e">
        <f t="shared" si="95"/>
        <v>#NUM!</v>
      </c>
      <c r="U100" s="16"/>
      <c r="V100" s="16">
        <f t="shared" si="86"/>
        <v>0</v>
      </c>
      <c r="W100" s="16" t="e">
        <f t="shared" ref="W100:AQ100" si="126">9.81/(2*PI())*$E$9^2*TANH(2*PI()*$H100/V100)</f>
        <v>#DIV/0!</v>
      </c>
      <c r="X100" s="16" t="e">
        <f t="shared" si="126"/>
        <v>#DIV/0!</v>
      </c>
      <c r="Y100" s="16" t="e">
        <f t="shared" si="126"/>
        <v>#DIV/0!</v>
      </c>
      <c r="Z100" s="16" t="e">
        <f t="shared" si="126"/>
        <v>#DIV/0!</v>
      </c>
      <c r="AA100" s="16" t="e">
        <f t="shared" si="126"/>
        <v>#DIV/0!</v>
      </c>
      <c r="AB100" s="16" t="e">
        <f t="shared" si="126"/>
        <v>#DIV/0!</v>
      </c>
      <c r="AC100" s="16" t="e">
        <f t="shared" si="126"/>
        <v>#DIV/0!</v>
      </c>
      <c r="AD100" s="16" t="e">
        <f t="shared" si="126"/>
        <v>#DIV/0!</v>
      </c>
      <c r="AE100" s="16" t="e">
        <f t="shared" si="126"/>
        <v>#DIV/0!</v>
      </c>
      <c r="AF100" s="16" t="e">
        <f t="shared" si="126"/>
        <v>#DIV/0!</v>
      </c>
      <c r="AG100" s="16" t="e">
        <f t="shared" si="126"/>
        <v>#DIV/0!</v>
      </c>
      <c r="AH100" s="16" t="e">
        <f t="shared" si="126"/>
        <v>#DIV/0!</v>
      </c>
      <c r="AI100" s="16" t="e">
        <f t="shared" si="126"/>
        <v>#DIV/0!</v>
      </c>
      <c r="AJ100" s="16" t="e">
        <f t="shared" si="126"/>
        <v>#DIV/0!</v>
      </c>
      <c r="AK100" s="16" t="e">
        <f t="shared" si="126"/>
        <v>#DIV/0!</v>
      </c>
      <c r="AL100" s="16" t="e">
        <f t="shared" si="126"/>
        <v>#DIV/0!</v>
      </c>
      <c r="AM100" s="16" t="e">
        <f t="shared" si="126"/>
        <v>#DIV/0!</v>
      </c>
      <c r="AN100" s="16" t="e">
        <f t="shared" si="126"/>
        <v>#DIV/0!</v>
      </c>
      <c r="AO100" s="16" t="e">
        <f t="shared" si="126"/>
        <v>#DIV/0!</v>
      </c>
      <c r="AP100" s="16" t="e">
        <f t="shared" si="126"/>
        <v>#DIV/0!</v>
      </c>
      <c r="AQ100" s="16" t="e">
        <f t="shared" si="126"/>
        <v>#DIV/0!</v>
      </c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</row>
    <row r="101" spans="1:54">
      <c r="A101" s="10"/>
      <c r="B101" s="11"/>
      <c r="H101" s="21"/>
      <c r="I101" s="21"/>
      <c r="J101" s="21"/>
    </row>
    <row r="102" spans="1:54">
      <c r="A102" s="10"/>
      <c r="B102" s="11"/>
      <c r="H102" s="21"/>
      <c r="I102" s="21"/>
      <c r="J102" s="21"/>
    </row>
    <row r="103" spans="1:54">
      <c r="A103" s="10"/>
      <c r="B103" s="11"/>
      <c r="H103" s="21"/>
      <c r="I103" s="21"/>
      <c r="J103" s="21"/>
    </row>
    <row r="104" spans="1:54">
      <c r="A104" s="10"/>
      <c r="B104" s="11"/>
      <c r="H104" s="21"/>
      <c r="I104" s="21"/>
      <c r="J104" s="21"/>
    </row>
    <row r="105" spans="1:54">
      <c r="A105" s="10"/>
      <c r="B105" s="11"/>
      <c r="H105" s="21"/>
      <c r="I105" s="21"/>
      <c r="J105" s="21"/>
    </row>
    <row r="106" spans="1:54">
      <c r="A106" s="10"/>
      <c r="B106" s="11"/>
      <c r="H106" s="21"/>
      <c r="I106" s="21"/>
      <c r="J106" s="21"/>
    </row>
    <row r="107" spans="1:54">
      <c r="A107" s="10"/>
      <c r="B107" s="11"/>
      <c r="H107" s="21"/>
      <c r="I107" s="21"/>
      <c r="J107" s="21"/>
    </row>
    <row r="108" spans="1:54">
      <c r="A108" s="10"/>
      <c r="B108" s="11"/>
      <c r="H108" s="21"/>
      <c r="I108" s="21"/>
      <c r="J108" s="21"/>
    </row>
    <row r="109" spans="1:54">
      <c r="A109" s="10"/>
      <c r="B109" s="11"/>
      <c r="H109" s="21"/>
      <c r="I109" s="21"/>
      <c r="J109" s="21"/>
    </row>
    <row r="110" spans="1:54">
      <c r="A110" s="10"/>
      <c r="B110" s="11"/>
      <c r="H110" s="21"/>
      <c r="I110" s="21"/>
      <c r="J110" s="21"/>
    </row>
    <row r="111" spans="1:54">
      <c r="A111" s="10"/>
      <c r="B111" s="11"/>
      <c r="H111" s="21"/>
      <c r="I111" s="21"/>
      <c r="J111" s="21"/>
    </row>
    <row r="112" spans="1:54">
      <c r="A112" s="10"/>
      <c r="B112" s="11"/>
      <c r="H112" s="21"/>
      <c r="I112" s="21"/>
      <c r="J112" s="21"/>
    </row>
    <row r="113" spans="1:10">
      <c r="A113" s="10"/>
      <c r="B113" s="11"/>
      <c r="H113" s="21"/>
      <c r="I113" s="21"/>
      <c r="J113" s="21"/>
    </row>
    <row r="114" spans="1:10">
      <c r="A114" s="10"/>
      <c r="B114" s="11"/>
      <c r="H114" s="21"/>
      <c r="I114" s="21"/>
      <c r="J114" s="21"/>
    </row>
    <row r="115" spans="1:10">
      <c r="A115" s="10"/>
      <c r="B115" s="11"/>
      <c r="H115" s="21"/>
      <c r="I115" s="21"/>
      <c r="J115" s="21"/>
    </row>
    <row r="116" spans="1:10">
      <c r="A116" s="10"/>
      <c r="B116" s="11"/>
      <c r="H116" s="21"/>
      <c r="I116" s="21"/>
      <c r="J116" s="21"/>
    </row>
    <row r="117" spans="1:10">
      <c r="A117" s="10"/>
      <c r="B117" s="11"/>
      <c r="H117" s="21"/>
      <c r="I117" s="21"/>
      <c r="J117" s="21"/>
    </row>
    <row r="118" spans="1:10">
      <c r="A118" s="10"/>
      <c r="B118" s="11"/>
      <c r="H118" s="21"/>
      <c r="I118" s="21"/>
      <c r="J118" s="21"/>
    </row>
    <row r="119" spans="1:10">
      <c r="A119" s="10"/>
      <c r="B119" s="11"/>
      <c r="H119" s="21"/>
      <c r="I119" s="21"/>
      <c r="J119" s="21"/>
    </row>
    <row r="120" spans="1:10">
      <c r="A120" s="10"/>
      <c r="B120" s="11"/>
      <c r="H120" s="21"/>
      <c r="I120" s="21"/>
      <c r="J120" s="21"/>
    </row>
    <row r="121" spans="1:10">
      <c r="A121" s="10"/>
      <c r="B121" s="11"/>
      <c r="H121" s="21"/>
      <c r="I121" s="21"/>
      <c r="J121" s="21"/>
    </row>
    <row r="122" spans="1:10">
      <c r="A122" s="10"/>
      <c r="B122" s="11"/>
      <c r="H122" s="21"/>
      <c r="I122" s="21"/>
      <c r="J122" s="21"/>
    </row>
    <row r="123" spans="1:10">
      <c r="A123" s="10"/>
      <c r="B123" s="11"/>
      <c r="H123" s="21"/>
      <c r="I123" s="21"/>
      <c r="J123" s="21"/>
    </row>
    <row r="124" spans="1:10">
      <c r="A124" s="10"/>
      <c r="B124" s="11"/>
      <c r="H124" s="21"/>
      <c r="I124" s="21"/>
      <c r="J124" s="21"/>
    </row>
    <row r="125" spans="1:10">
      <c r="A125" s="10"/>
      <c r="B125" s="11"/>
      <c r="H125" s="21"/>
      <c r="I125" s="21"/>
      <c r="J125" s="21"/>
    </row>
    <row r="126" spans="1:10">
      <c r="A126" s="10"/>
      <c r="B126" s="11"/>
      <c r="H126" s="21"/>
      <c r="I126" s="21"/>
      <c r="J126" s="21"/>
    </row>
    <row r="127" spans="1:10">
      <c r="A127" s="10"/>
      <c r="B127" s="11"/>
      <c r="H127" s="21"/>
      <c r="I127" s="21"/>
      <c r="J127" s="21"/>
    </row>
    <row r="128" spans="1:10">
      <c r="A128" s="10"/>
      <c r="B128" s="11"/>
      <c r="H128" s="21"/>
      <c r="I128" s="21"/>
      <c r="J128" s="21"/>
    </row>
    <row r="129" spans="1:10">
      <c r="A129" s="10"/>
      <c r="B129" s="11"/>
      <c r="H129" s="21"/>
      <c r="I129" s="21"/>
      <c r="J129" s="21"/>
    </row>
    <row r="130" spans="1:10">
      <c r="A130" s="10"/>
      <c r="B130" s="11"/>
      <c r="H130" s="21"/>
      <c r="I130" s="21"/>
      <c r="J130" s="21"/>
    </row>
    <row r="131" spans="1:10">
      <c r="A131" s="10"/>
      <c r="B131" s="11"/>
      <c r="H131" s="21"/>
      <c r="I131" s="21"/>
      <c r="J131" s="21"/>
    </row>
    <row r="132" spans="1:10">
      <c r="A132" s="10"/>
      <c r="B132" s="11"/>
      <c r="H132" s="21"/>
      <c r="I132" s="21"/>
      <c r="J132" s="21"/>
    </row>
    <row r="133" spans="1:10">
      <c r="A133" s="10"/>
      <c r="B133" s="11"/>
      <c r="H133" s="21"/>
      <c r="I133" s="21"/>
      <c r="J133" s="21"/>
    </row>
    <row r="134" spans="1:10">
      <c r="A134" s="10"/>
      <c r="B134" s="11"/>
      <c r="H134" s="21"/>
      <c r="I134" s="21"/>
      <c r="J134" s="21"/>
    </row>
    <row r="135" spans="1:10">
      <c r="A135" s="10"/>
      <c r="B135" s="11"/>
      <c r="H135" s="21"/>
      <c r="I135" s="21"/>
      <c r="J135" s="21"/>
    </row>
    <row r="136" spans="1:10">
      <c r="A136" s="10"/>
      <c r="B136" s="11"/>
      <c r="H136" s="21"/>
      <c r="I136" s="21"/>
      <c r="J136" s="21"/>
    </row>
    <row r="137" spans="1:10">
      <c r="A137" s="10"/>
      <c r="B137" s="11"/>
      <c r="H137" s="21"/>
      <c r="I137" s="21"/>
      <c r="J137" s="21"/>
    </row>
    <row r="138" spans="1:10">
      <c r="A138" s="10"/>
      <c r="B138" s="11"/>
      <c r="H138" s="21"/>
      <c r="I138" s="21"/>
      <c r="J138" s="21"/>
    </row>
    <row r="139" spans="1:10">
      <c r="A139" s="10"/>
      <c r="B139" s="11"/>
      <c r="H139" s="21"/>
      <c r="I139" s="21"/>
      <c r="J139" s="21"/>
    </row>
    <row r="140" spans="1:10">
      <c r="A140" s="10"/>
      <c r="B140" s="11"/>
      <c r="H140" s="21"/>
      <c r="I140" s="21"/>
      <c r="J140" s="21"/>
    </row>
    <row r="141" spans="1:10">
      <c r="A141" s="10"/>
      <c r="B141" s="11"/>
      <c r="H141" s="21"/>
      <c r="I141" s="21"/>
      <c r="J141" s="21"/>
    </row>
    <row r="142" spans="1:10">
      <c r="A142" s="10"/>
      <c r="B142" s="11"/>
      <c r="H142" s="21"/>
      <c r="I142" s="21"/>
      <c r="J142" s="21"/>
    </row>
    <row r="143" spans="1:10">
      <c r="A143" s="10"/>
      <c r="B143" s="11"/>
      <c r="H143" s="21"/>
      <c r="I143" s="21"/>
      <c r="J143" s="21"/>
    </row>
    <row r="144" spans="1:10">
      <c r="A144" s="10"/>
      <c r="B144" s="11"/>
      <c r="H144" s="21"/>
      <c r="I144" s="21"/>
      <c r="J144" s="21"/>
    </row>
    <row r="145" spans="1:10">
      <c r="A145" s="10"/>
      <c r="B145" s="11"/>
      <c r="H145" s="21"/>
      <c r="I145" s="21"/>
      <c r="J145" s="21"/>
    </row>
    <row r="146" spans="1:10">
      <c r="A146" s="10"/>
      <c r="B146" s="11"/>
      <c r="H146" s="21"/>
      <c r="I146" s="21"/>
      <c r="J146" s="21"/>
    </row>
    <row r="147" spans="1:10">
      <c r="A147" s="10"/>
      <c r="B147" s="11"/>
      <c r="H147" s="21"/>
      <c r="I147" s="21"/>
      <c r="J147" s="21"/>
    </row>
    <row r="148" spans="1:10">
      <c r="A148" s="10"/>
      <c r="B148" s="11"/>
      <c r="H148" s="21"/>
      <c r="I148" s="21"/>
      <c r="J148" s="21"/>
    </row>
    <row r="149" spans="1:10">
      <c r="A149" s="10"/>
      <c r="B149" s="11"/>
      <c r="H149" s="21"/>
      <c r="I149" s="21"/>
      <c r="J149" s="21"/>
    </row>
    <row r="150" spans="1:10">
      <c r="A150" s="10"/>
      <c r="B150" s="11"/>
      <c r="H150" s="21"/>
      <c r="I150" s="21"/>
      <c r="J150" s="21"/>
    </row>
    <row r="151" spans="1:10">
      <c r="A151" s="10"/>
      <c r="B151" s="11"/>
      <c r="H151" s="21"/>
      <c r="I151" s="21"/>
      <c r="J151" s="21"/>
    </row>
    <row r="152" spans="1:10">
      <c r="A152" s="10"/>
      <c r="B152" s="11"/>
      <c r="H152" s="21"/>
      <c r="I152" s="21"/>
      <c r="J152" s="21"/>
    </row>
    <row r="153" spans="1:10">
      <c r="A153" s="10"/>
      <c r="B153" s="11"/>
      <c r="H153" s="21"/>
      <c r="I153" s="21"/>
      <c r="J153" s="21"/>
    </row>
    <row r="154" spans="1:10">
      <c r="A154" s="10"/>
      <c r="B154" s="11"/>
      <c r="H154" s="21"/>
      <c r="I154" s="21"/>
      <c r="J154" s="21"/>
    </row>
    <row r="155" spans="1:10">
      <c r="A155" s="10"/>
      <c r="B155" s="11"/>
      <c r="H155" s="21"/>
      <c r="I155" s="21"/>
      <c r="J155" s="21"/>
    </row>
    <row r="156" spans="1:10">
      <c r="A156" s="10"/>
      <c r="B156" s="11"/>
      <c r="H156" s="21"/>
      <c r="I156" s="21"/>
      <c r="J156" s="21"/>
    </row>
    <row r="157" spans="1:10">
      <c r="A157" s="10"/>
      <c r="B157" s="11"/>
      <c r="H157" s="21"/>
      <c r="I157" s="21"/>
      <c r="J157" s="21"/>
    </row>
    <row r="158" spans="1:10">
      <c r="A158" s="10"/>
      <c r="B158" s="11"/>
      <c r="H158" s="21"/>
      <c r="I158" s="21"/>
      <c r="J158" s="21"/>
    </row>
    <row r="159" spans="1:10">
      <c r="A159" s="10"/>
      <c r="B159" s="11"/>
      <c r="H159" s="21"/>
      <c r="I159" s="21"/>
      <c r="J159" s="21"/>
    </row>
    <row r="160" spans="1:10">
      <c r="A160" s="10"/>
      <c r="B160" s="11"/>
      <c r="H160" s="21"/>
      <c r="I160" s="21"/>
      <c r="J160" s="21"/>
    </row>
    <row r="161" spans="1:10">
      <c r="A161" s="10"/>
      <c r="B161" s="11"/>
      <c r="H161" s="21"/>
      <c r="I161" s="21"/>
      <c r="J161" s="21"/>
    </row>
    <row r="162" spans="1:10">
      <c r="A162" s="10"/>
      <c r="B162" s="11"/>
      <c r="H162" s="21"/>
      <c r="I162" s="21"/>
      <c r="J162" s="21"/>
    </row>
    <row r="163" spans="1:10">
      <c r="A163" s="10"/>
      <c r="B163" s="11"/>
      <c r="H163" s="21"/>
      <c r="I163" s="21"/>
      <c r="J163" s="21"/>
    </row>
    <row r="164" spans="1:10">
      <c r="A164" s="10"/>
      <c r="B164" s="11"/>
      <c r="H164" s="21"/>
      <c r="I164" s="21"/>
      <c r="J164" s="21"/>
    </row>
    <row r="165" spans="1:10">
      <c r="A165" s="10"/>
      <c r="B165" s="11"/>
      <c r="H165" s="21"/>
      <c r="I165" s="21"/>
      <c r="J165" s="21"/>
    </row>
    <row r="166" spans="1:10">
      <c r="A166" s="10"/>
      <c r="B166" s="11"/>
      <c r="H166" s="21"/>
      <c r="I166" s="21"/>
      <c r="J166" s="21"/>
    </row>
    <row r="167" spans="1:10">
      <c r="A167" s="10"/>
      <c r="B167" s="11"/>
      <c r="H167" s="21"/>
      <c r="I167" s="21"/>
      <c r="J167" s="21"/>
    </row>
    <row r="168" spans="1:10">
      <c r="A168" s="10"/>
      <c r="B168" s="11"/>
      <c r="H168" s="21"/>
      <c r="I168" s="21"/>
      <c r="J168" s="21"/>
    </row>
    <row r="169" spans="1:10">
      <c r="A169" s="10"/>
      <c r="B169" s="11"/>
      <c r="H169" s="21"/>
      <c r="I169" s="21"/>
      <c r="J169" s="21"/>
    </row>
    <row r="170" spans="1:10">
      <c r="A170" s="10"/>
      <c r="B170" s="11"/>
      <c r="H170" s="21"/>
      <c r="I170" s="21"/>
      <c r="J170" s="21"/>
    </row>
    <row r="171" spans="1:10">
      <c r="A171" s="10"/>
      <c r="B171" s="11"/>
      <c r="H171" s="21"/>
      <c r="I171" s="21"/>
      <c r="J171" s="21"/>
    </row>
    <row r="172" spans="1:10">
      <c r="A172" s="10"/>
      <c r="B172" s="11"/>
      <c r="H172" s="21"/>
      <c r="I172" s="21"/>
      <c r="J172" s="21"/>
    </row>
    <row r="173" spans="1:10">
      <c r="A173" s="10"/>
      <c r="B173" s="11"/>
      <c r="H173" s="21"/>
      <c r="I173" s="21"/>
      <c r="J173" s="21"/>
    </row>
    <row r="174" spans="1:10">
      <c r="A174" s="10"/>
      <c r="B174" s="11"/>
      <c r="H174" s="21"/>
      <c r="I174" s="21"/>
      <c r="J174" s="21"/>
    </row>
    <row r="175" spans="1:10">
      <c r="A175" s="10"/>
      <c r="B175" s="11"/>
      <c r="H175" s="21"/>
      <c r="I175" s="21"/>
      <c r="J175" s="21"/>
    </row>
    <row r="176" spans="1:10">
      <c r="A176" s="10"/>
      <c r="B176" s="11"/>
      <c r="H176" s="21"/>
      <c r="I176" s="21"/>
      <c r="J176" s="21"/>
    </row>
    <row r="177" spans="1:10">
      <c r="A177" s="10"/>
      <c r="B177" s="11"/>
      <c r="H177" s="21"/>
      <c r="I177" s="21"/>
      <c r="J177" s="21"/>
    </row>
    <row r="178" spans="1:10">
      <c r="A178" s="10"/>
      <c r="B178" s="11"/>
      <c r="H178" s="21"/>
      <c r="I178" s="21"/>
      <c r="J178" s="21"/>
    </row>
    <row r="179" spans="1:10">
      <c r="A179" s="10"/>
      <c r="B179" s="11"/>
      <c r="H179" s="21"/>
      <c r="I179" s="21"/>
      <c r="J179" s="21"/>
    </row>
    <row r="180" spans="1:10">
      <c r="A180" s="10"/>
      <c r="B180" s="11"/>
      <c r="H180" s="21"/>
      <c r="I180" s="21"/>
      <c r="J180" s="21"/>
    </row>
    <row r="181" spans="1:10">
      <c r="A181" s="10"/>
      <c r="B181" s="11"/>
      <c r="H181" s="21"/>
      <c r="I181" s="21"/>
      <c r="J181" s="21"/>
    </row>
    <row r="182" spans="1:10">
      <c r="A182" s="10"/>
      <c r="B182" s="11"/>
      <c r="H182" s="21"/>
      <c r="I182" s="21"/>
      <c r="J182" s="21"/>
    </row>
    <row r="183" spans="1:10">
      <c r="A183" s="10"/>
      <c r="B183" s="11"/>
      <c r="H183" s="21"/>
      <c r="I183" s="21"/>
      <c r="J183" s="21"/>
    </row>
    <row r="184" spans="1:10">
      <c r="A184" s="10"/>
      <c r="B184" s="11"/>
      <c r="H184" s="21"/>
      <c r="I184" s="21"/>
      <c r="J184" s="21"/>
    </row>
    <row r="185" spans="1:10">
      <c r="A185" s="10"/>
      <c r="B185" s="11"/>
      <c r="H185" s="21"/>
      <c r="I185" s="21"/>
      <c r="J185" s="21"/>
    </row>
    <row r="186" spans="1:10">
      <c r="A186" s="10"/>
      <c r="B186" s="11"/>
      <c r="H186" s="21"/>
      <c r="I186" s="21"/>
      <c r="J186" s="21"/>
    </row>
    <row r="187" spans="1:10">
      <c r="A187" s="10"/>
      <c r="B187" s="11"/>
      <c r="H187" s="21"/>
      <c r="I187" s="21"/>
      <c r="J187" s="21"/>
    </row>
    <row r="188" spans="1:10">
      <c r="A188" s="10"/>
      <c r="B188" s="11"/>
      <c r="H188" s="21"/>
      <c r="I188" s="21"/>
      <c r="J188" s="21"/>
    </row>
    <row r="189" spans="1:10">
      <c r="A189" s="10"/>
      <c r="B189" s="11"/>
      <c r="H189" s="21"/>
      <c r="I189" s="21"/>
      <c r="J189" s="21"/>
    </row>
    <row r="190" spans="1:10">
      <c r="A190" s="10"/>
      <c r="B190" s="11"/>
      <c r="H190" s="21"/>
      <c r="I190" s="21"/>
      <c r="J190" s="21"/>
    </row>
    <row r="191" spans="1:10">
      <c r="A191" s="10"/>
      <c r="B191" s="11"/>
      <c r="H191" s="21"/>
      <c r="I191" s="21"/>
      <c r="J191" s="21"/>
    </row>
    <row r="192" spans="1:10">
      <c r="A192" s="10"/>
      <c r="B192" s="11"/>
      <c r="H192" s="21"/>
      <c r="I192" s="21"/>
      <c r="J192" s="21"/>
    </row>
    <row r="193" spans="1:10">
      <c r="A193" s="10"/>
      <c r="B193" s="11"/>
      <c r="H193" s="21"/>
      <c r="I193" s="21"/>
      <c r="J193" s="21"/>
    </row>
    <row r="194" spans="1:10">
      <c r="A194" s="10"/>
      <c r="B194" s="11"/>
      <c r="H194" s="21"/>
      <c r="I194" s="21"/>
      <c r="J194" s="21"/>
    </row>
    <row r="195" spans="1:10">
      <c r="A195" s="10"/>
      <c r="B195" s="11"/>
      <c r="H195" s="21"/>
      <c r="I195" s="21"/>
      <c r="J195" s="21"/>
    </row>
    <row r="196" spans="1:10">
      <c r="A196" s="10"/>
      <c r="B196" s="11"/>
      <c r="H196" s="21"/>
      <c r="I196" s="21"/>
      <c r="J196" s="21"/>
    </row>
    <row r="197" spans="1:10">
      <c r="A197" s="10"/>
      <c r="B197" s="11"/>
      <c r="H197" s="21"/>
      <c r="I197" s="21"/>
      <c r="J197" s="21"/>
    </row>
    <row r="198" spans="1:10">
      <c r="A198" s="10"/>
      <c r="B198" s="11"/>
      <c r="H198" s="21"/>
      <c r="I198" s="21"/>
      <c r="J198" s="21"/>
    </row>
    <row r="199" spans="1:10">
      <c r="A199" s="10"/>
      <c r="B199" s="11"/>
      <c r="H199" s="21"/>
      <c r="I199" s="21"/>
      <c r="J199" s="21"/>
    </row>
    <row r="200" spans="1:10">
      <c r="A200" s="10"/>
      <c r="B200" s="11"/>
      <c r="H200" s="21"/>
      <c r="I200" s="21"/>
      <c r="J200" s="21"/>
    </row>
    <row r="201" spans="1:10">
      <c r="A201" s="10"/>
      <c r="B201" s="11"/>
      <c r="H201" s="21"/>
      <c r="I201" s="21"/>
      <c r="J201" s="21"/>
    </row>
    <row r="202" spans="1:10">
      <c r="A202" s="10"/>
      <c r="B202" s="11"/>
      <c r="H202" s="21"/>
      <c r="I202" s="21"/>
      <c r="J202" s="21"/>
    </row>
    <row r="203" spans="1:10">
      <c r="A203" s="10"/>
      <c r="B203" s="11"/>
      <c r="H203" s="21"/>
      <c r="I203" s="21"/>
      <c r="J203" s="21"/>
    </row>
    <row r="204" spans="1:10">
      <c r="A204" s="10"/>
      <c r="B204" s="11"/>
      <c r="H204" s="21"/>
      <c r="I204" s="21"/>
      <c r="J204" s="21"/>
    </row>
    <row r="205" spans="1:10">
      <c r="A205" s="10"/>
      <c r="B205" s="11"/>
      <c r="H205" s="21"/>
      <c r="I205" s="21"/>
      <c r="J205" s="21"/>
    </row>
    <row r="206" spans="1:10">
      <c r="A206" s="10"/>
      <c r="B206" s="11"/>
      <c r="H206" s="21"/>
      <c r="I206" s="21"/>
      <c r="J206" s="21"/>
    </row>
    <row r="207" spans="1:10">
      <c r="A207" s="10"/>
      <c r="B207" s="11"/>
      <c r="H207" s="21"/>
      <c r="I207" s="21"/>
      <c r="J207" s="21"/>
    </row>
    <row r="208" spans="1:10">
      <c r="A208" s="10"/>
      <c r="B208" s="11"/>
      <c r="H208" s="21"/>
      <c r="I208" s="21"/>
      <c r="J208" s="21"/>
    </row>
    <row r="209" spans="1:10">
      <c r="A209" s="10"/>
      <c r="B209" s="11"/>
      <c r="H209" s="21"/>
      <c r="I209" s="21"/>
      <c r="J209" s="21"/>
    </row>
    <row r="210" spans="1:10">
      <c r="A210" s="10"/>
      <c r="B210" s="11"/>
      <c r="H210" s="21"/>
      <c r="I210" s="21"/>
      <c r="J210" s="21"/>
    </row>
    <row r="211" spans="1:10">
      <c r="A211" s="10"/>
      <c r="B211" s="11"/>
      <c r="H211" s="21"/>
      <c r="I211" s="21"/>
      <c r="J211" s="21"/>
    </row>
    <row r="212" spans="1:10">
      <c r="A212" s="10"/>
      <c r="B212" s="11"/>
      <c r="H212" s="21"/>
      <c r="I212" s="21"/>
      <c r="J212" s="21"/>
    </row>
    <row r="213" spans="1:10">
      <c r="A213" s="10"/>
      <c r="B213" s="11"/>
      <c r="H213" s="21"/>
      <c r="I213" s="21"/>
      <c r="J213" s="21"/>
    </row>
    <row r="214" spans="1:10">
      <c r="A214" s="10"/>
      <c r="B214" s="11"/>
      <c r="H214" s="21"/>
      <c r="I214" s="21"/>
      <c r="J214" s="21"/>
    </row>
    <row r="215" spans="1:10">
      <c r="A215" s="10"/>
      <c r="B215" s="11"/>
      <c r="H215" s="21"/>
      <c r="I215" s="21"/>
      <c r="J215" s="21"/>
    </row>
    <row r="216" spans="1:10">
      <c r="A216" s="10"/>
      <c r="B216" s="11"/>
      <c r="H216" s="21"/>
      <c r="I216" s="21"/>
      <c r="J216" s="21"/>
    </row>
    <row r="217" spans="1:10">
      <c r="A217" s="10"/>
      <c r="B217" s="11"/>
      <c r="H217" s="21"/>
      <c r="I217" s="21"/>
      <c r="J217" s="21"/>
    </row>
    <row r="218" spans="1:10">
      <c r="A218" s="10"/>
      <c r="B218" s="11"/>
      <c r="H218" s="21"/>
      <c r="I218" s="21"/>
      <c r="J218" s="21"/>
    </row>
    <row r="219" spans="1:10">
      <c r="A219" s="10"/>
      <c r="B219" s="11"/>
      <c r="H219" s="21"/>
      <c r="I219" s="21"/>
      <c r="J219" s="21"/>
    </row>
    <row r="220" spans="1:10">
      <c r="A220" s="10"/>
      <c r="B220" s="11"/>
      <c r="H220" s="21"/>
      <c r="I220" s="21"/>
      <c r="J220" s="21"/>
    </row>
    <row r="221" spans="1:10">
      <c r="A221" s="10"/>
      <c r="B221" s="11"/>
      <c r="H221" s="21"/>
      <c r="I221" s="21"/>
      <c r="J221" s="21"/>
    </row>
    <row r="222" spans="1:10">
      <c r="A222" s="10"/>
      <c r="B222" s="11"/>
      <c r="H222" s="21"/>
      <c r="I222" s="21"/>
      <c r="J222" s="21"/>
    </row>
    <row r="223" spans="1:10">
      <c r="A223" s="10"/>
      <c r="B223" s="11"/>
      <c r="H223" s="21"/>
      <c r="I223" s="21"/>
      <c r="J223" s="21"/>
    </row>
    <row r="224" spans="1:10">
      <c r="A224" s="10"/>
      <c r="B224" s="11"/>
      <c r="H224" s="21"/>
      <c r="I224" s="21"/>
      <c r="J224" s="21"/>
    </row>
    <row r="225" spans="1:10">
      <c r="A225" s="10"/>
      <c r="B225" s="11"/>
      <c r="H225" s="21"/>
      <c r="I225" s="21"/>
      <c r="J225" s="21"/>
    </row>
    <row r="226" spans="1:10">
      <c r="A226" s="10"/>
      <c r="B226" s="11"/>
      <c r="H226" s="21"/>
      <c r="I226" s="21"/>
      <c r="J226" s="21"/>
    </row>
    <row r="227" spans="1:10">
      <c r="A227" s="10"/>
      <c r="B227" s="11"/>
      <c r="H227" s="21"/>
      <c r="I227" s="21"/>
      <c r="J227" s="21"/>
    </row>
    <row r="228" spans="1:10">
      <c r="A228" s="10"/>
      <c r="B228" s="11"/>
      <c r="H228" s="21"/>
      <c r="I228" s="21"/>
      <c r="J228" s="21"/>
    </row>
    <row r="229" spans="1:10">
      <c r="A229" s="10"/>
      <c r="B229" s="11"/>
      <c r="H229" s="21"/>
      <c r="I229" s="21"/>
      <c r="J229" s="21"/>
    </row>
    <row r="230" spans="1:10">
      <c r="A230" s="10"/>
      <c r="B230" s="11"/>
      <c r="H230" s="21"/>
      <c r="I230" s="21"/>
      <c r="J230" s="21"/>
    </row>
    <row r="231" spans="1:10">
      <c r="A231" s="10"/>
      <c r="B231" s="11"/>
      <c r="H231" s="21"/>
      <c r="I231" s="21"/>
      <c r="J231" s="21"/>
    </row>
    <row r="232" spans="1:10">
      <c r="A232" s="10"/>
      <c r="B232" s="11"/>
      <c r="H232" s="21"/>
      <c r="I232" s="21"/>
      <c r="J232" s="21"/>
    </row>
    <row r="233" spans="1:10">
      <c r="A233" s="10"/>
      <c r="B233" s="11"/>
      <c r="H233" s="21"/>
      <c r="I233" s="21"/>
      <c r="J233" s="21"/>
    </row>
    <row r="234" spans="1:10">
      <c r="A234" s="10"/>
      <c r="B234" s="11"/>
      <c r="H234" s="21"/>
      <c r="I234" s="21"/>
      <c r="J234" s="21"/>
    </row>
    <row r="235" spans="1:10">
      <c r="A235" s="10"/>
      <c r="B235" s="11"/>
      <c r="H235" s="21"/>
      <c r="I235" s="21"/>
      <c r="J235" s="21"/>
    </row>
    <row r="236" spans="1:10">
      <c r="A236" s="10"/>
      <c r="B236" s="11"/>
      <c r="H236" s="21"/>
      <c r="I236" s="21"/>
      <c r="J236" s="21"/>
    </row>
    <row r="237" spans="1:10">
      <c r="A237" s="10"/>
      <c r="B237" s="11"/>
      <c r="H237" s="21"/>
      <c r="I237" s="21"/>
      <c r="J237" s="21"/>
    </row>
    <row r="238" spans="1:10">
      <c r="A238" s="10"/>
      <c r="B238" s="11"/>
      <c r="H238" s="21"/>
      <c r="I238" s="21"/>
      <c r="J238" s="21"/>
    </row>
    <row r="239" spans="1:10">
      <c r="A239" s="10"/>
      <c r="B239" s="11"/>
      <c r="H239" s="21"/>
      <c r="I239" s="21"/>
      <c r="J239" s="21"/>
    </row>
    <row r="240" spans="1:10">
      <c r="A240" s="10"/>
      <c r="B240" s="11"/>
      <c r="H240" s="21"/>
      <c r="I240" s="21"/>
      <c r="J240" s="21"/>
    </row>
    <row r="241" spans="1:10">
      <c r="A241" s="10"/>
      <c r="B241" s="11"/>
      <c r="H241" s="21"/>
      <c r="I241" s="21"/>
      <c r="J241" s="21"/>
    </row>
    <row r="242" spans="1:10">
      <c r="A242" s="10"/>
      <c r="B242" s="11"/>
      <c r="H242" s="21"/>
      <c r="I242" s="21"/>
      <c r="J242" s="21"/>
    </row>
    <row r="243" spans="1:10">
      <c r="A243" s="10"/>
      <c r="B243" s="11"/>
      <c r="H243" s="21"/>
      <c r="I243" s="21"/>
      <c r="J243" s="21"/>
    </row>
    <row r="244" spans="1:10">
      <c r="A244" s="10"/>
      <c r="B244" s="11"/>
      <c r="H244" s="21"/>
      <c r="I244" s="21"/>
      <c r="J244" s="21"/>
    </row>
    <row r="245" spans="1:10">
      <c r="A245" s="10"/>
      <c r="B245" s="11"/>
      <c r="H245" s="21"/>
      <c r="I245" s="21"/>
      <c r="J245" s="21"/>
    </row>
    <row r="246" spans="1:10">
      <c r="A246" s="10"/>
      <c r="B246" s="11"/>
      <c r="H246" s="21"/>
      <c r="I246" s="21"/>
      <c r="J246" s="21"/>
    </row>
    <row r="247" spans="1:10">
      <c r="A247" s="10"/>
      <c r="B247" s="11"/>
      <c r="H247" s="21"/>
      <c r="I247" s="21"/>
      <c r="J247" s="21"/>
    </row>
    <row r="248" spans="1:10">
      <c r="A248" s="10"/>
      <c r="B248" s="11"/>
      <c r="H248" s="21"/>
      <c r="I248" s="21"/>
      <c r="J248" s="21"/>
    </row>
    <row r="249" spans="1:10">
      <c r="A249" s="10"/>
      <c r="B249" s="11"/>
      <c r="H249" s="21"/>
      <c r="I249" s="21"/>
      <c r="J249" s="21"/>
    </row>
    <row r="250" spans="1:10">
      <c r="A250" s="10"/>
      <c r="B250" s="11"/>
      <c r="H250" s="21"/>
      <c r="I250" s="21"/>
      <c r="J250" s="21"/>
    </row>
    <row r="251" spans="1:10">
      <c r="A251" s="10"/>
      <c r="B251" s="11"/>
      <c r="H251" s="21"/>
      <c r="I251" s="21"/>
      <c r="J251" s="21"/>
    </row>
    <row r="252" spans="1:10">
      <c r="A252" s="10"/>
      <c r="B252" s="11"/>
      <c r="H252" s="21"/>
      <c r="I252" s="21"/>
      <c r="J252" s="21"/>
    </row>
    <row r="253" spans="1:10">
      <c r="A253" s="10"/>
      <c r="B253" s="11"/>
      <c r="H253" s="21"/>
      <c r="I253" s="21"/>
      <c r="J253" s="21"/>
    </row>
    <row r="254" spans="1:10">
      <c r="A254" s="10"/>
      <c r="B254" s="11"/>
      <c r="H254" s="21"/>
      <c r="I254" s="21"/>
      <c r="J254" s="21"/>
    </row>
    <row r="255" spans="1:10">
      <c r="A255" s="10"/>
      <c r="B255" s="11"/>
      <c r="H255" s="21"/>
      <c r="I255" s="21"/>
      <c r="J255" s="21"/>
    </row>
    <row r="256" spans="1:10">
      <c r="A256" s="10"/>
      <c r="B256" s="11"/>
      <c r="H256" s="21"/>
      <c r="I256" s="21"/>
      <c r="J256" s="21"/>
    </row>
    <row r="257" spans="1:10">
      <c r="A257" s="10"/>
      <c r="B257" s="11"/>
      <c r="H257" s="21"/>
      <c r="I257" s="21"/>
      <c r="J257" s="21"/>
    </row>
    <row r="258" spans="1:10">
      <c r="A258" s="10"/>
      <c r="B258" s="11"/>
      <c r="H258" s="21"/>
      <c r="I258" s="21"/>
      <c r="J258" s="21"/>
    </row>
    <row r="259" spans="1:10">
      <c r="A259" s="10"/>
      <c r="B259" s="11"/>
      <c r="H259" s="21"/>
      <c r="I259" s="21"/>
      <c r="J259" s="21"/>
    </row>
    <row r="260" spans="1:10">
      <c r="A260" s="10"/>
      <c r="B260" s="11"/>
      <c r="H260" s="21"/>
      <c r="I260" s="21"/>
      <c r="J260" s="21"/>
    </row>
    <row r="261" spans="1:10">
      <c r="A261" s="10"/>
      <c r="B261" s="11"/>
      <c r="H261" s="21"/>
      <c r="I261" s="21"/>
      <c r="J261" s="21"/>
    </row>
    <row r="262" spans="1:10">
      <c r="A262" s="10"/>
      <c r="B262" s="11"/>
      <c r="H262" s="21"/>
      <c r="I262" s="21"/>
      <c r="J262" s="21"/>
    </row>
    <row r="263" spans="1:10">
      <c r="A263" s="10"/>
      <c r="B263" s="11"/>
      <c r="H263" s="21"/>
      <c r="I263" s="21"/>
      <c r="J263" s="21"/>
    </row>
    <row r="264" spans="1:10">
      <c r="A264" s="10"/>
      <c r="B264" s="11"/>
      <c r="H264" s="21"/>
      <c r="I264" s="21"/>
      <c r="J264" s="21"/>
    </row>
    <row r="265" spans="1:10">
      <c r="A265" s="10"/>
      <c r="B265" s="11"/>
      <c r="H265" s="21"/>
      <c r="I265" s="21"/>
      <c r="J265" s="21"/>
    </row>
    <row r="266" spans="1:10">
      <c r="A266" s="10"/>
      <c r="B266" s="11"/>
      <c r="H266" s="21"/>
      <c r="I266" s="21"/>
      <c r="J266" s="21"/>
    </row>
    <row r="267" spans="1:10">
      <c r="A267" s="10"/>
      <c r="B267" s="11"/>
      <c r="H267" s="21"/>
      <c r="I267" s="21"/>
      <c r="J267" s="21"/>
    </row>
    <row r="268" spans="1:10">
      <c r="A268" s="10"/>
      <c r="B268" s="11"/>
      <c r="H268" s="21"/>
      <c r="I268" s="21"/>
      <c r="J268" s="21"/>
    </row>
    <row r="269" spans="1:10">
      <c r="A269" s="10"/>
      <c r="B269" s="11"/>
      <c r="H269" s="21"/>
      <c r="I269" s="21"/>
      <c r="J269" s="21"/>
    </row>
    <row r="270" spans="1:10">
      <c r="A270" s="10"/>
      <c r="B270" s="11"/>
      <c r="H270" s="21"/>
      <c r="I270" s="21"/>
      <c r="J270" s="21"/>
    </row>
    <row r="271" spans="1:10">
      <c r="A271" s="10"/>
      <c r="B271" s="11"/>
      <c r="H271" s="21"/>
      <c r="I271" s="21"/>
      <c r="J271" s="21"/>
    </row>
    <row r="272" spans="1:10">
      <c r="A272" s="10"/>
      <c r="B272" s="11"/>
      <c r="H272" s="21"/>
      <c r="I272" s="21"/>
      <c r="J272" s="21"/>
    </row>
    <row r="273" spans="1:10">
      <c r="A273" s="10"/>
      <c r="B273" s="11"/>
      <c r="H273" s="21"/>
      <c r="I273" s="21"/>
      <c r="J273" s="21"/>
    </row>
    <row r="274" spans="1:10">
      <c r="A274" s="10"/>
      <c r="B274" s="11"/>
      <c r="H274" s="21"/>
      <c r="I274" s="21"/>
      <c r="J274" s="21"/>
    </row>
    <row r="275" spans="1:10">
      <c r="A275" s="10"/>
      <c r="B275" s="11"/>
      <c r="H275" s="21"/>
      <c r="I275" s="21"/>
      <c r="J275" s="21"/>
    </row>
    <row r="276" spans="1:10">
      <c r="A276" s="10"/>
      <c r="B276" s="11"/>
      <c r="H276" s="21"/>
      <c r="I276" s="21"/>
      <c r="J276" s="21"/>
    </row>
    <row r="277" spans="1:10">
      <c r="A277" s="10"/>
      <c r="B277" s="11"/>
      <c r="H277" s="21"/>
      <c r="I277" s="21"/>
      <c r="J277" s="21"/>
    </row>
    <row r="278" spans="1:10">
      <c r="A278" s="10"/>
      <c r="B278" s="11"/>
      <c r="H278" s="21"/>
      <c r="I278" s="21"/>
      <c r="J278" s="21"/>
    </row>
    <row r="279" spans="1:10">
      <c r="A279" s="10"/>
      <c r="B279" s="11"/>
      <c r="H279" s="21"/>
      <c r="I279" s="21"/>
      <c r="J279" s="21"/>
    </row>
    <row r="280" spans="1:10">
      <c r="A280" s="10"/>
      <c r="B280" s="11"/>
      <c r="H280" s="21"/>
      <c r="I280" s="21"/>
      <c r="J280" s="21"/>
    </row>
    <row r="281" spans="1:10">
      <c r="A281" s="10"/>
      <c r="B281" s="11"/>
      <c r="H281" s="21"/>
      <c r="I281" s="21"/>
      <c r="J281" s="21"/>
    </row>
    <row r="282" spans="1:10">
      <c r="A282" s="10"/>
      <c r="B282" s="11"/>
      <c r="H282" s="21"/>
      <c r="I282" s="21"/>
      <c r="J282" s="21"/>
    </row>
    <row r="283" spans="1:10">
      <c r="A283" s="10"/>
      <c r="B283" s="11"/>
      <c r="H283" s="21"/>
      <c r="I283" s="21"/>
      <c r="J283" s="21"/>
    </row>
    <row r="284" spans="1:10">
      <c r="A284" s="10"/>
      <c r="B284" s="11"/>
      <c r="H284" s="21"/>
      <c r="I284" s="21"/>
      <c r="J284" s="21"/>
    </row>
    <row r="285" spans="1:10">
      <c r="A285" s="10"/>
      <c r="B285" s="11"/>
      <c r="H285" s="21"/>
      <c r="I285" s="21"/>
      <c r="J285" s="21"/>
    </row>
    <row r="286" spans="1:10">
      <c r="A286" s="10"/>
      <c r="B286" s="11"/>
      <c r="H286" s="21"/>
      <c r="I286" s="21"/>
      <c r="J286" s="21"/>
    </row>
    <row r="287" spans="1:10">
      <c r="A287" s="10"/>
      <c r="B287" s="11"/>
      <c r="H287" s="21"/>
      <c r="I287" s="21"/>
      <c r="J287" s="21"/>
    </row>
    <row r="288" spans="1:10">
      <c r="A288" s="10"/>
      <c r="B288" s="11"/>
      <c r="H288" s="21"/>
      <c r="I288" s="21"/>
      <c r="J288" s="21"/>
    </row>
    <row r="289" spans="1:10">
      <c r="A289" s="10"/>
      <c r="B289" s="11"/>
      <c r="H289" s="21"/>
      <c r="I289" s="21"/>
      <c r="J289" s="21"/>
    </row>
    <row r="290" spans="1:10">
      <c r="A290" s="10"/>
      <c r="B290" s="11"/>
      <c r="H290" s="21"/>
      <c r="I290" s="21"/>
      <c r="J290" s="21"/>
    </row>
    <row r="291" spans="1:10">
      <c r="A291" s="10"/>
      <c r="B291" s="11"/>
      <c r="H291" s="21"/>
      <c r="I291" s="21"/>
      <c r="J291" s="21"/>
    </row>
    <row r="292" spans="1:10">
      <c r="A292" s="10"/>
      <c r="B292" s="11"/>
      <c r="H292" s="21"/>
      <c r="I292" s="21"/>
      <c r="J292" s="21"/>
    </row>
    <row r="293" spans="1:10">
      <c r="A293" s="10"/>
      <c r="B293" s="11"/>
      <c r="H293" s="21"/>
      <c r="I293" s="21"/>
      <c r="J293" s="21"/>
    </row>
    <row r="294" spans="1:10">
      <c r="A294" s="10"/>
      <c r="B294" s="11"/>
      <c r="H294" s="21"/>
      <c r="I294" s="21"/>
      <c r="J294" s="21"/>
    </row>
    <row r="295" spans="1:10">
      <c r="A295" s="10"/>
      <c r="B295" s="11"/>
      <c r="H295" s="21"/>
      <c r="I295" s="21"/>
      <c r="J295" s="21"/>
    </row>
    <row r="296" spans="1:10">
      <c r="A296" s="10"/>
      <c r="B296" s="11"/>
      <c r="H296" s="21"/>
      <c r="I296" s="21"/>
      <c r="J296" s="21"/>
    </row>
    <row r="297" spans="1:10">
      <c r="A297" s="10"/>
      <c r="B297" s="11"/>
      <c r="H297" s="21"/>
      <c r="I297" s="21"/>
      <c r="J297" s="21"/>
    </row>
    <row r="298" spans="1:10">
      <c r="A298" s="10"/>
      <c r="B298" s="11"/>
      <c r="H298" s="21"/>
      <c r="I298" s="21"/>
      <c r="J298" s="21"/>
    </row>
    <row r="299" spans="1:10">
      <c r="A299" s="10"/>
      <c r="B299" s="11"/>
      <c r="H299" s="21"/>
      <c r="I299" s="21"/>
      <c r="J299" s="21"/>
    </row>
    <row r="300" spans="1:10">
      <c r="A300" s="10"/>
      <c r="B300" s="11"/>
      <c r="H300" s="21"/>
      <c r="I300" s="21"/>
      <c r="J300" s="21"/>
    </row>
    <row r="301" spans="1:10">
      <c r="A301" s="10"/>
      <c r="B301" s="11"/>
      <c r="H301" s="21"/>
      <c r="I301" s="21"/>
      <c r="J301" s="21"/>
    </row>
    <row r="302" spans="1:10">
      <c r="A302" s="10"/>
      <c r="B302" s="11"/>
      <c r="H302" s="21"/>
      <c r="I302" s="21"/>
      <c r="J302" s="21"/>
    </row>
    <row r="303" spans="1:10">
      <c r="A303" s="10"/>
      <c r="B303" s="11"/>
      <c r="H303" s="21"/>
      <c r="I303" s="21"/>
      <c r="J303" s="21"/>
    </row>
    <row r="304" spans="1:10">
      <c r="A304" s="10"/>
      <c r="B304" s="11"/>
      <c r="H304" s="21"/>
      <c r="I304" s="21"/>
      <c r="J304" s="21"/>
    </row>
    <row r="305" spans="1:10">
      <c r="A305" s="10"/>
      <c r="B305" s="11"/>
      <c r="H305" s="21"/>
      <c r="I305" s="21"/>
      <c r="J305" s="21"/>
    </row>
    <row r="306" spans="1:10">
      <c r="A306" s="10"/>
      <c r="B306" s="11"/>
      <c r="H306" s="21"/>
      <c r="I306" s="21"/>
      <c r="J306" s="21"/>
    </row>
    <row r="307" spans="1:10">
      <c r="A307" s="10"/>
      <c r="B307" s="11"/>
      <c r="H307" s="21"/>
      <c r="I307" s="21"/>
      <c r="J307" s="21"/>
    </row>
    <row r="308" spans="1:10">
      <c r="A308" s="10"/>
      <c r="B308" s="11"/>
      <c r="H308" s="21"/>
      <c r="I308" s="21"/>
      <c r="J308" s="21"/>
    </row>
    <row r="309" spans="1:10">
      <c r="A309" s="10"/>
      <c r="B309" s="11"/>
      <c r="H309" s="21"/>
      <c r="I309" s="21"/>
      <c r="J309" s="21"/>
    </row>
    <row r="310" spans="1:10">
      <c r="A310" s="10"/>
      <c r="B310" s="11"/>
      <c r="H310" s="21"/>
      <c r="I310" s="21"/>
      <c r="J310" s="21"/>
    </row>
    <row r="311" spans="1:10">
      <c r="A311" s="10"/>
      <c r="B311" s="11"/>
      <c r="H311" s="21"/>
      <c r="I311" s="21"/>
      <c r="J311" s="21"/>
    </row>
    <row r="312" spans="1:10">
      <c r="A312" s="10"/>
      <c r="B312" s="11"/>
      <c r="H312" s="21"/>
      <c r="I312" s="21"/>
      <c r="J312" s="21"/>
    </row>
    <row r="313" spans="1:10">
      <c r="A313" s="10"/>
      <c r="B313" s="11"/>
      <c r="H313" s="21"/>
      <c r="I313" s="21"/>
      <c r="J313" s="21"/>
    </row>
    <row r="314" spans="1:10">
      <c r="A314" s="10"/>
      <c r="B314" s="11"/>
      <c r="H314" s="21"/>
      <c r="I314" s="21"/>
      <c r="J314" s="21"/>
    </row>
    <row r="315" spans="1:10">
      <c r="A315" s="10"/>
      <c r="B315" s="11"/>
      <c r="H315" s="21"/>
      <c r="I315" s="21"/>
      <c r="J315" s="21"/>
    </row>
    <row r="316" spans="1:10">
      <c r="A316" s="10"/>
      <c r="B316" s="11"/>
      <c r="H316" s="21"/>
      <c r="I316" s="21"/>
      <c r="J316" s="21"/>
    </row>
    <row r="317" spans="1:10">
      <c r="A317" s="10"/>
      <c r="B317" s="11"/>
      <c r="H317" s="21"/>
      <c r="I317" s="21"/>
      <c r="J317" s="21"/>
    </row>
    <row r="318" spans="1:10">
      <c r="A318" s="10"/>
      <c r="B318" s="11"/>
      <c r="H318" s="21"/>
      <c r="I318" s="21"/>
      <c r="J318" s="21"/>
    </row>
    <row r="319" spans="1:10">
      <c r="A319" s="10"/>
      <c r="B319" s="11"/>
      <c r="H319" s="21"/>
      <c r="I319" s="21"/>
      <c r="J319" s="21"/>
    </row>
    <row r="320" spans="1:10">
      <c r="A320" s="10"/>
      <c r="B320" s="11"/>
      <c r="H320" s="21"/>
      <c r="I320" s="21"/>
      <c r="J320" s="21"/>
    </row>
    <row r="321" spans="1:10">
      <c r="A321" s="10"/>
      <c r="B321" s="11"/>
      <c r="H321" s="21"/>
      <c r="I321" s="21"/>
      <c r="J321" s="21"/>
    </row>
    <row r="322" spans="1:10">
      <c r="A322" s="10"/>
      <c r="B322" s="11"/>
      <c r="H322" s="21"/>
      <c r="I322" s="21"/>
      <c r="J322" s="21"/>
    </row>
    <row r="323" spans="1:10">
      <c r="A323" s="10"/>
      <c r="B323" s="11"/>
      <c r="H323" s="21"/>
      <c r="I323" s="21"/>
      <c r="J323" s="21"/>
    </row>
    <row r="324" spans="1:10">
      <c r="A324" s="10"/>
      <c r="B324" s="11"/>
      <c r="H324" s="21"/>
      <c r="I324" s="21"/>
      <c r="J324" s="21"/>
    </row>
    <row r="325" spans="1:10">
      <c r="A325" s="10"/>
      <c r="B325" s="11"/>
      <c r="H325" s="21"/>
      <c r="I325" s="21"/>
      <c r="J325" s="21"/>
    </row>
    <row r="326" spans="1:10">
      <c r="A326" s="10"/>
      <c r="B326" s="11"/>
      <c r="H326" s="21"/>
      <c r="I326" s="21"/>
      <c r="J326" s="21"/>
    </row>
    <row r="327" spans="1:10">
      <c r="A327" s="10"/>
      <c r="B327" s="11"/>
      <c r="H327" s="21"/>
      <c r="I327" s="21"/>
      <c r="J327" s="21"/>
    </row>
    <row r="328" spans="1:10">
      <c r="A328" s="10"/>
      <c r="B328" s="11"/>
      <c r="H328" s="21"/>
      <c r="I328" s="21"/>
      <c r="J328" s="21"/>
    </row>
    <row r="329" spans="1:10">
      <c r="A329" s="10"/>
      <c r="B329" s="11"/>
      <c r="H329" s="21"/>
      <c r="I329" s="21"/>
      <c r="J329" s="21"/>
    </row>
    <row r="330" spans="1:10">
      <c r="A330" s="10"/>
      <c r="B330" s="11"/>
      <c r="H330" s="21"/>
      <c r="I330" s="21"/>
      <c r="J330" s="21"/>
    </row>
    <row r="331" spans="1:10">
      <c r="A331" s="10"/>
      <c r="B331" s="11"/>
      <c r="H331" s="21"/>
      <c r="I331" s="21"/>
      <c r="J331" s="21"/>
    </row>
    <row r="332" spans="1:10">
      <c r="A332" s="10"/>
      <c r="B332" s="11"/>
      <c r="H332" s="21"/>
      <c r="I332" s="21"/>
      <c r="J332" s="21"/>
    </row>
    <row r="333" spans="1:10">
      <c r="A333" s="10"/>
      <c r="B333" s="11"/>
      <c r="H333" s="21"/>
      <c r="I333" s="21"/>
      <c r="J333" s="21"/>
    </row>
    <row r="334" spans="1:10">
      <c r="A334" s="10"/>
      <c r="B334" s="11"/>
      <c r="H334" s="21"/>
      <c r="I334" s="21"/>
      <c r="J334" s="21"/>
    </row>
    <row r="335" spans="1:10">
      <c r="A335" s="10"/>
      <c r="B335" s="11"/>
      <c r="H335" s="21"/>
      <c r="I335" s="21"/>
      <c r="J335" s="21"/>
    </row>
    <row r="336" spans="1:10">
      <c r="A336" s="10"/>
      <c r="B336" s="11"/>
      <c r="H336" s="21"/>
      <c r="I336" s="21"/>
      <c r="J336" s="21"/>
    </row>
    <row r="337" spans="1:10">
      <c r="A337" s="10"/>
      <c r="B337" s="11"/>
      <c r="H337" s="21"/>
      <c r="I337" s="21"/>
      <c r="J337" s="21"/>
    </row>
    <row r="338" spans="1:10">
      <c r="A338" s="10"/>
      <c r="B338" s="11"/>
      <c r="H338" s="21"/>
      <c r="I338" s="21"/>
      <c r="J338" s="21"/>
    </row>
    <row r="339" spans="1:10">
      <c r="A339" s="10"/>
      <c r="B339" s="11"/>
      <c r="H339" s="21"/>
      <c r="I339" s="21"/>
      <c r="J339" s="21"/>
    </row>
    <row r="340" spans="1:10">
      <c r="A340" s="10"/>
      <c r="B340" s="11"/>
      <c r="H340" s="21"/>
      <c r="I340" s="21"/>
      <c r="J340" s="21"/>
    </row>
    <row r="341" spans="1:10">
      <c r="A341" s="10"/>
      <c r="B341" s="11"/>
      <c r="H341" s="21"/>
      <c r="I341" s="21"/>
      <c r="J341" s="21"/>
    </row>
    <row r="342" spans="1:10">
      <c r="A342" s="10"/>
      <c r="B342" s="11"/>
      <c r="H342" s="21"/>
      <c r="I342" s="21"/>
      <c r="J342" s="21"/>
    </row>
    <row r="343" spans="1:10">
      <c r="A343" s="10"/>
      <c r="B343" s="11"/>
      <c r="H343" s="21"/>
      <c r="I343" s="21"/>
      <c r="J343" s="21"/>
    </row>
    <row r="344" spans="1:10">
      <c r="A344" s="10"/>
      <c r="B344" s="11"/>
      <c r="H344" s="21"/>
      <c r="I344" s="21"/>
      <c r="J344" s="21"/>
    </row>
    <row r="345" spans="1:10">
      <c r="A345" s="10"/>
      <c r="B345" s="11"/>
      <c r="H345" s="21"/>
      <c r="I345" s="21"/>
      <c r="J345" s="21"/>
    </row>
    <row r="346" spans="1:10">
      <c r="A346" s="10"/>
      <c r="B346" s="11"/>
      <c r="H346" s="21"/>
      <c r="I346" s="21"/>
      <c r="J346" s="21"/>
    </row>
    <row r="347" spans="1:10">
      <c r="A347" s="10"/>
      <c r="B347" s="11"/>
      <c r="H347" s="21"/>
      <c r="I347" s="21"/>
      <c r="J347" s="21"/>
    </row>
    <row r="348" spans="1:10">
      <c r="A348" s="10"/>
      <c r="B348" s="11"/>
      <c r="H348" s="21"/>
      <c r="I348" s="21"/>
      <c r="J348" s="21"/>
    </row>
    <row r="349" spans="1:10">
      <c r="A349" s="10"/>
      <c r="B349" s="11"/>
      <c r="H349" s="21"/>
      <c r="I349" s="21"/>
      <c r="J349" s="21"/>
    </row>
    <row r="350" spans="1:10">
      <c r="A350" s="10"/>
      <c r="B350" s="11"/>
      <c r="H350" s="21"/>
      <c r="I350" s="21"/>
      <c r="J350" s="21"/>
    </row>
    <row r="351" spans="1:10">
      <c r="A351" s="10"/>
      <c r="B351" s="11"/>
      <c r="H351" s="21"/>
      <c r="I351" s="21"/>
      <c r="J351" s="21"/>
    </row>
    <row r="352" spans="1:10">
      <c r="A352" s="10"/>
      <c r="B352" s="11"/>
      <c r="H352" s="21"/>
      <c r="I352" s="21"/>
      <c r="J352" s="21"/>
    </row>
    <row r="353" spans="1:10">
      <c r="A353" s="10"/>
      <c r="B353" s="11"/>
      <c r="H353" s="21"/>
      <c r="I353" s="21"/>
      <c r="J353" s="21"/>
    </row>
    <row r="354" spans="1:10">
      <c r="A354" s="10"/>
      <c r="B354" s="11"/>
      <c r="H354" s="21"/>
      <c r="I354" s="21"/>
      <c r="J354" s="21"/>
    </row>
    <row r="355" spans="1:10">
      <c r="A355" s="10"/>
      <c r="B355" s="11"/>
      <c r="H355" s="21"/>
      <c r="I355" s="21"/>
      <c r="J355" s="21"/>
    </row>
    <row r="356" spans="1:10">
      <c r="A356" s="10"/>
      <c r="B356" s="11"/>
      <c r="H356" s="21"/>
      <c r="I356" s="21"/>
      <c r="J356" s="21"/>
    </row>
    <row r="357" spans="1:10">
      <c r="A357" s="10"/>
      <c r="B357" s="11"/>
      <c r="H357" s="21"/>
      <c r="I357" s="21"/>
      <c r="J357" s="21"/>
    </row>
    <row r="358" spans="1:10">
      <c r="A358" s="10"/>
      <c r="B358" s="11"/>
      <c r="H358" s="21"/>
      <c r="I358" s="21"/>
      <c r="J358" s="21"/>
    </row>
    <row r="359" spans="1:10">
      <c r="A359" s="10"/>
      <c r="B359" s="11"/>
      <c r="H359" s="21"/>
      <c r="I359" s="21"/>
      <c r="J359" s="21"/>
    </row>
    <row r="360" spans="1:10">
      <c r="A360" s="10"/>
      <c r="B360" s="11"/>
      <c r="H360" s="21"/>
      <c r="I360" s="21"/>
      <c r="J360" s="21"/>
    </row>
    <row r="361" spans="1:10">
      <c r="A361" s="10"/>
      <c r="B361" s="11"/>
      <c r="H361" s="21"/>
      <c r="I361" s="21"/>
      <c r="J361" s="21"/>
    </row>
    <row r="362" spans="1:10">
      <c r="A362" s="10"/>
      <c r="B362" s="11"/>
      <c r="H362" s="21"/>
      <c r="I362" s="21"/>
      <c r="J362" s="21"/>
    </row>
    <row r="363" spans="1:10">
      <c r="A363" s="10"/>
      <c r="B363" s="11"/>
      <c r="H363" s="21"/>
      <c r="I363" s="21"/>
      <c r="J363" s="21"/>
    </row>
    <row r="364" spans="1:10">
      <c r="A364" s="10"/>
      <c r="B364" s="11"/>
      <c r="H364" s="21"/>
      <c r="I364" s="21"/>
      <c r="J364" s="21"/>
    </row>
    <row r="365" spans="1:10">
      <c r="A365" s="10"/>
      <c r="B365" s="11"/>
      <c r="H365" s="21"/>
      <c r="I365" s="21"/>
      <c r="J365" s="21"/>
    </row>
    <row r="366" spans="1:10">
      <c r="A366" s="10"/>
      <c r="B366" s="11"/>
      <c r="H366" s="21"/>
      <c r="I366" s="21"/>
      <c r="J366" s="21"/>
    </row>
    <row r="367" spans="1:10">
      <c r="A367" s="10"/>
      <c r="B367" s="11"/>
      <c r="H367" s="21"/>
      <c r="I367" s="21"/>
      <c r="J367" s="21"/>
    </row>
    <row r="368" spans="1:10">
      <c r="A368" s="10"/>
      <c r="B368" s="11"/>
      <c r="H368" s="21"/>
      <c r="I368" s="21"/>
      <c r="J368" s="21"/>
    </row>
    <row r="369" spans="1:10">
      <c r="A369" s="10"/>
      <c r="B369" s="11"/>
      <c r="H369" s="21"/>
      <c r="I369" s="21"/>
      <c r="J369" s="21"/>
    </row>
    <row r="370" spans="1:10">
      <c r="A370" s="10"/>
      <c r="B370" s="11"/>
      <c r="H370" s="21"/>
      <c r="I370" s="21"/>
      <c r="J370" s="21"/>
    </row>
    <row r="371" spans="1:10">
      <c r="A371" s="10"/>
      <c r="B371" s="11"/>
      <c r="H371" s="21"/>
      <c r="I371" s="21"/>
      <c r="J371" s="21"/>
    </row>
    <row r="372" spans="1:10">
      <c r="A372" s="10"/>
      <c r="B372" s="11"/>
      <c r="H372" s="21"/>
      <c r="I372" s="21"/>
      <c r="J372" s="21"/>
    </row>
    <row r="373" spans="1:10">
      <c r="A373" s="10"/>
      <c r="B373" s="11"/>
      <c r="H373" s="21"/>
      <c r="I373" s="21"/>
      <c r="J373" s="21"/>
    </row>
    <row r="374" spans="1:10">
      <c r="A374" s="10"/>
      <c r="B374" s="11"/>
      <c r="H374" s="21"/>
      <c r="I374" s="21"/>
      <c r="J374" s="21"/>
    </row>
    <row r="375" spans="1:10">
      <c r="A375" s="10"/>
      <c r="B375" s="11"/>
      <c r="H375" s="21"/>
      <c r="I375" s="21"/>
      <c r="J375" s="21"/>
    </row>
    <row r="376" spans="1:10">
      <c r="A376" s="10"/>
      <c r="B376" s="11"/>
      <c r="H376" s="21"/>
      <c r="I376" s="21"/>
      <c r="J376" s="21"/>
    </row>
    <row r="377" spans="1:10">
      <c r="A377" s="10"/>
      <c r="B377" s="11"/>
      <c r="H377" s="21"/>
      <c r="I377" s="21"/>
      <c r="J377" s="21"/>
    </row>
    <row r="378" spans="1:10">
      <c r="A378" s="10"/>
      <c r="B378" s="11"/>
      <c r="H378" s="21"/>
      <c r="I378" s="21"/>
      <c r="J378" s="21"/>
    </row>
    <row r="379" spans="1:10">
      <c r="A379" s="10"/>
      <c r="B379" s="11"/>
      <c r="H379" s="21"/>
      <c r="I379" s="21"/>
      <c r="J379" s="21"/>
    </row>
    <row r="380" spans="1:10">
      <c r="A380" s="10"/>
      <c r="B380" s="11"/>
      <c r="H380" s="21"/>
      <c r="I380" s="21"/>
      <c r="J380" s="21"/>
    </row>
    <row r="381" spans="1:10">
      <c r="A381" s="10"/>
      <c r="B381" s="11"/>
      <c r="H381" s="21"/>
      <c r="I381" s="21"/>
      <c r="J381" s="21"/>
    </row>
    <row r="382" spans="1:10">
      <c r="A382" s="10"/>
      <c r="B382" s="11"/>
      <c r="H382" s="21"/>
      <c r="I382" s="21"/>
      <c r="J382" s="21"/>
    </row>
    <row r="383" spans="1:10">
      <c r="A383" s="10"/>
      <c r="B383" s="11"/>
      <c r="H383" s="21"/>
      <c r="I383" s="21"/>
      <c r="J383" s="21"/>
    </row>
    <row r="384" spans="1:10">
      <c r="A384" s="10"/>
      <c r="B384" s="11"/>
      <c r="H384" s="21"/>
      <c r="I384" s="21"/>
      <c r="J384" s="21"/>
    </row>
    <row r="385" spans="1:10">
      <c r="A385" s="10"/>
      <c r="B385" s="11"/>
      <c r="H385" s="21"/>
      <c r="I385" s="21"/>
      <c r="J385" s="21"/>
    </row>
    <row r="386" spans="1:10">
      <c r="A386" s="10"/>
      <c r="B386" s="11"/>
      <c r="H386" s="21"/>
      <c r="I386" s="21"/>
      <c r="J386" s="21"/>
    </row>
    <row r="387" spans="1:10">
      <c r="A387" s="10"/>
      <c r="B387" s="11"/>
      <c r="H387" s="21"/>
      <c r="I387" s="21"/>
      <c r="J387" s="21"/>
    </row>
    <row r="388" spans="1:10">
      <c r="A388" s="10"/>
      <c r="B388" s="11"/>
      <c r="H388" s="21"/>
      <c r="I388" s="21"/>
      <c r="J388" s="21"/>
    </row>
    <row r="389" spans="1:10">
      <c r="A389" s="10"/>
      <c r="B389" s="11"/>
      <c r="H389" s="21"/>
      <c r="I389" s="21"/>
      <c r="J389" s="21"/>
    </row>
    <row r="390" spans="1:10">
      <c r="A390" s="10"/>
      <c r="B390" s="11"/>
      <c r="H390" s="21"/>
      <c r="I390" s="21"/>
      <c r="J390" s="21"/>
    </row>
    <row r="391" spans="1:10">
      <c r="A391" s="10"/>
      <c r="B391" s="11"/>
      <c r="H391" s="21"/>
      <c r="I391" s="21"/>
      <c r="J391" s="21"/>
    </row>
    <row r="392" spans="1:10">
      <c r="A392" s="10"/>
      <c r="B392" s="11"/>
      <c r="H392" s="21"/>
      <c r="I392" s="21"/>
      <c r="J392" s="21"/>
    </row>
    <row r="393" spans="1:10">
      <c r="A393" s="10"/>
      <c r="B393" s="11"/>
      <c r="H393" s="21"/>
      <c r="I393" s="21"/>
      <c r="J393" s="21"/>
    </row>
    <row r="394" spans="1:10">
      <c r="A394" s="10"/>
      <c r="B394" s="11"/>
      <c r="H394" s="21"/>
      <c r="I394" s="21"/>
      <c r="J394" s="21"/>
    </row>
    <row r="395" spans="1:10">
      <c r="A395" s="10"/>
      <c r="B395" s="11"/>
      <c r="H395" s="21"/>
      <c r="I395" s="21"/>
      <c r="J395" s="21"/>
    </row>
    <row r="396" spans="1:10">
      <c r="A396" s="10"/>
      <c r="B396" s="11"/>
      <c r="H396" s="21"/>
      <c r="I396" s="21"/>
      <c r="J396" s="21"/>
    </row>
    <row r="397" spans="1:10">
      <c r="A397" s="10"/>
      <c r="B397" s="11"/>
      <c r="H397" s="21"/>
      <c r="I397" s="21"/>
      <c r="J397" s="21"/>
    </row>
    <row r="398" spans="1:10">
      <c r="A398" s="10"/>
      <c r="B398" s="11"/>
      <c r="H398" s="21"/>
      <c r="I398" s="21"/>
      <c r="J398" s="21"/>
    </row>
    <row r="399" spans="1:10">
      <c r="A399" s="10"/>
      <c r="B399" s="11"/>
      <c r="H399" s="21"/>
      <c r="I399" s="21"/>
      <c r="J399" s="21"/>
    </row>
    <row r="400" spans="1:10">
      <c r="A400" s="10"/>
      <c r="B400" s="11"/>
      <c r="H400" s="21"/>
      <c r="I400" s="21"/>
      <c r="J400" s="21"/>
    </row>
    <row r="401" spans="1:10">
      <c r="A401" s="10"/>
      <c r="B401" s="11"/>
      <c r="H401" s="21"/>
      <c r="I401" s="21"/>
      <c r="J401" s="21"/>
    </row>
    <row r="402" spans="1:10">
      <c r="A402" s="10"/>
      <c r="B402" s="11"/>
      <c r="H402" s="21"/>
      <c r="I402" s="21"/>
      <c r="J402" s="21"/>
    </row>
    <row r="403" spans="1:10">
      <c r="A403" s="10"/>
      <c r="B403" s="11"/>
      <c r="H403" s="21"/>
      <c r="I403" s="21"/>
      <c r="J403" s="21"/>
    </row>
    <row r="404" spans="1:10">
      <c r="A404" s="10"/>
      <c r="B404" s="11"/>
      <c r="H404" s="21"/>
      <c r="I404" s="21"/>
      <c r="J404" s="21"/>
    </row>
    <row r="405" spans="1:10">
      <c r="A405" s="10"/>
      <c r="B405" s="11"/>
      <c r="H405" s="21"/>
      <c r="I405" s="21"/>
      <c r="J405" s="21"/>
    </row>
    <row r="406" spans="1:10">
      <c r="A406" s="10"/>
      <c r="B406" s="11"/>
      <c r="H406" s="21"/>
      <c r="I406" s="21"/>
      <c r="J406" s="21"/>
    </row>
    <row r="407" spans="1:10">
      <c r="A407" s="10"/>
      <c r="B407" s="11"/>
      <c r="H407" s="21"/>
      <c r="I407" s="21"/>
      <c r="J407" s="21"/>
    </row>
    <row r="408" spans="1:10">
      <c r="A408" s="10"/>
      <c r="B408" s="11"/>
      <c r="H408" s="21"/>
      <c r="I408" s="21"/>
      <c r="J408" s="21"/>
    </row>
    <row r="409" spans="1:10">
      <c r="A409" s="10"/>
      <c r="B409" s="11"/>
      <c r="H409" s="21"/>
      <c r="I409" s="21"/>
      <c r="J409" s="21"/>
    </row>
    <row r="410" spans="1:10">
      <c r="A410" s="10"/>
      <c r="B410" s="11"/>
      <c r="H410" s="21"/>
      <c r="I410" s="21"/>
      <c r="J410" s="21"/>
    </row>
    <row r="411" spans="1:10">
      <c r="A411" s="10"/>
      <c r="B411" s="11"/>
      <c r="H411" s="21"/>
      <c r="I411" s="21"/>
      <c r="J411" s="21"/>
    </row>
    <row r="412" spans="1:10">
      <c r="A412" s="10"/>
      <c r="B412" s="11"/>
      <c r="H412" s="21"/>
      <c r="I412" s="21"/>
      <c r="J412" s="21"/>
    </row>
    <row r="413" spans="1:10">
      <c r="A413" s="10"/>
      <c r="B413" s="11"/>
      <c r="H413" s="21"/>
      <c r="I413" s="21"/>
      <c r="J413" s="21"/>
    </row>
    <row r="414" spans="1:10">
      <c r="A414" s="10"/>
      <c r="B414" s="11"/>
      <c r="H414" s="21"/>
      <c r="I414" s="21"/>
      <c r="J414" s="21"/>
    </row>
    <row r="415" spans="1:10">
      <c r="A415" s="10"/>
      <c r="B415" s="11"/>
      <c r="H415" s="21"/>
      <c r="I415" s="21"/>
      <c r="J415" s="21"/>
    </row>
    <row r="416" spans="1:10">
      <c r="A416" s="10"/>
      <c r="B416" s="11"/>
      <c r="H416" s="21"/>
      <c r="I416" s="21"/>
      <c r="J416" s="21"/>
    </row>
    <row r="417" spans="1:10">
      <c r="A417" s="10"/>
      <c r="B417" s="11"/>
      <c r="H417" s="21"/>
      <c r="I417" s="21"/>
      <c r="J417" s="21"/>
    </row>
    <row r="418" spans="1:10">
      <c r="A418" s="10"/>
      <c r="B418" s="11"/>
      <c r="H418" s="21"/>
      <c r="I418" s="21"/>
      <c r="J418" s="21"/>
    </row>
    <row r="419" spans="1:10">
      <c r="A419" s="10"/>
      <c r="B419" s="11"/>
      <c r="H419" s="21"/>
      <c r="I419" s="21"/>
      <c r="J419" s="21"/>
    </row>
    <row r="420" spans="1:10">
      <c r="A420" s="10"/>
      <c r="B420" s="11"/>
      <c r="H420" s="21"/>
      <c r="I420" s="21"/>
      <c r="J420" s="21"/>
    </row>
    <row r="421" spans="1:10">
      <c r="A421" s="10"/>
      <c r="B421" s="11"/>
      <c r="H421" s="21"/>
      <c r="I421" s="21"/>
      <c r="J421" s="21"/>
    </row>
    <row r="422" spans="1:10">
      <c r="A422" s="10"/>
      <c r="B422" s="11"/>
      <c r="H422" s="21"/>
      <c r="I422" s="21"/>
      <c r="J422" s="21"/>
    </row>
    <row r="423" spans="1:10">
      <c r="A423" s="10"/>
      <c r="B423" s="11"/>
      <c r="H423" s="21"/>
      <c r="I423" s="21"/>
      <c r="J423" s="21"/>
    </row>
    <row r="424" spans="1:10">
      <c r="A424" s="10"/>
      <c r="B424" s="11"/>
      <c r="H424" s="21"/>
      <c r="I424" s="21"/>
      <c r="J424" s="21"/>
    </row>
    <row r="425" spans="1:10">
      <c r="A425" s="10"/>
      <c r="B425" s="11"/>
      <c r="H425" s="21"/>
      <c r="I425" s="21"/>
      <c r="J425" s="21"/>
    </row>
    <row r="426" spans="1:10">
      <c r="A426" s="10"/>
      <c r="B426" s="11"/>
      <c r="H426" s="21"/>
      <c r="I426" s="21"/>
      <c r="J426" s="21"/>
    </row>
    <row r="427" spans="1:10">
      <c r="A427" s="10"/>
      <c r="B427" s="11"/>
      <c r="H427" s="21"/>
      <c r="I427" s="21"/>
      <c r="J427" s="21"/>
    </row>
    <row r="428" spans="1:10">
      <c r="A428" s="10"/>
      <c r="B428" s="11"/>
      <c r="H428" s="21"/>
      <c r="I428" s="21"/>
      <c r="J428" s="21"/>
    </row>
    <row r="429" spans="1:10">
      <c r="A429" s="10"/>
      <c r="B429" s="11"/>
      <c r="H429" s="21"/>
      <c r="I429" s="21"/>
      <c r="J429" s="21"/>
    </row>
    <row r="430" spans="1:10">
      <c r="A430" s="10"/>
      <c r="B430" s="11"/>
      <c r="H430" s="21"/>
      <c r="I430" s="21"/>
      <c r="J430" s="21"/>
    </row>
    <row r="431" spans="1:10">
      <c r="A431" s="10"/>
      <c r="B431" s="11"/>
      <c r="H431" s="21"/>
      <c r="I431" s="21"/>
      <c r="J431" s="21"/>
    </row>
    <row r="432" spans="1:10">
      <c r="A432" s="10"/>
      <c r="B432" s="11"/>
      <c r="H432" s="21"/>
      <c r="I432" s="21"/>
      <c r="J432" s="21"/>
    </row>
    <row r="433" spans="1:10">
      <c r="A433" s="10"/>
      <c r="B433" s="11"/>
      <c r="H433" s="21"/>
      <c r="I433" s="21"/>
      <c r="J433" s="21"/>
    </row>
    <row r="434" spans="1:10">
      <c r="A434" s="10"/>
      <c r="B434" s="11"/>
      <c r="H434" s="21"/>
      <c r="I434" s="21"/>
      <c r="J434" s="21"/>
    </row>
    <row r="435" spans="1:10">
      <c r="A435" s="10"/>
      <c r="B435" s="11"/>
      <c r="H435" s="21"/>
      <c r="I435" s="21"/>
      <c r="J435" s="21"/>
    </row>
    <row r="436" spans="1:10">
      <c r="A436" s="10"/>
      <c r="B436" s="11"/>
      <c r="H436" s="21"/>
      <c r="I436" s="21"/>
      <c r="J436" s="21"/>
    </row>
    <row r="437" spans="1:10">
      <c r="A437" s="10"/>
      <c r="B437" s="11"/>
      <c r="H437" s="21"/>
      <c r="I437" s="21"/>
      <c r="J437" s="21"/>
    </row>
    <row r="438" spans="1:10">
      <c r="A438" s="10"/>
      <c r="B438" s="11"/>
      <c r="H438" s="21"/>
      <c r="I438" s="21"/>
      <c r="J438" s="21"/>
    </row>
    <row r="439" spans="1:10">
      <c r="A439" s="10"/>
      <c r="B439" s="11"/>
      <c r="H439" s="21"/>
      <c r="I439" s="21"/>
      <c r="J439" s="21"/>
    </row>
    <row r="440" spans="1:10">
      <c r="A440" s="10"/>
      <c r="B440" s="11"/>
      <c r="H440" s="21"/>
      <c r="I440" s="21"/>
      <c r="J440" s="21"/>
    </row>
    <row r="441" spans="1:10">
      <c r="A441" s="10"/>
      <c r="B441" s="11"/>
      <c r="H441" s="21"/>
      <c r="I441" s="21"/>
      <c r="J441" s="21"/>
    </row>
    <row r="442" spans="1:10">
      <c r="A442" s="10"/>
      <c r="B442" s="11"/>
      <c r="H442" s="21"/>
      <c r="I442" s="21"/>
      <c r="J442" s="21"/>
    </row>
    <row r="443" spans="1:10">
      <c r="A443" s="10"/>
      <c r="B443" s="11"/>
      <c r="H443" s="21"/>
      <c r="I443" s="21"/>
      <c r="J443" s="21"/>
    </row>
    <row r="444" spans="1:10">
      <c r="A444" s="10"/>
      <c r="B444" s="11"/>
      <c r="H444" s="21"/>
      <c r="I444" s="21"/>
      <c r="J444" s="21"/>
    </row>
    <row r="445" spans="1:10">
      <c r="A445" s="10"/>
      <c r="B445" s="11"/>
      <c r="H445" s="21"/>
      <c r="I445" s="21"/>
      <c r="J445" s="21"/>
    </row>
    <row r="446" spans="1:10">
      <c r="A446" s="10"/>
      <c r="B446" s="11"/>
      <c r="H446" s="21"/>
      <c r="I446" s="21"/>
      <c r="J446" s="21"/>
    </row>
    <row r="447" spans="1:10">
      <c r="A447" s="10"/>
      <c r="B447" s="11"/>
      <c r="H447" s="21"/>
      <c r="I447" s="21"/>
      <c r="J447" s="21"/>
    </row>
    <row r="448" spans="1:10">
      <c r="A448" s="10"/>
      <c r="B448" s="11"/>
      <c r="H448" s="21"/>
      <c r="I448" s="21"/>
      <c r="J448" s="21"/>
    </row>
    <row r="449" spans="1:10">
      <c r="A449" s="10"/>
      <c r="B449" s="11"/>
      <c r="H449" s="21"/>
      <c r="I449" s="21"/>
      <c r="J449" s="21"/>
    </row>
    <row r="450" spans="1:10">
      <c r="A450" s="10"/>
      <c r="B450" s="11"/>
      <c r="H450" s="21"/>
      <c r="I450" s="21"/>
      <c r="J450" s="21"/>
    </row>
    <row r="451" spans="1:10">
      <c r="A451" s="10"/>
      <c r="B451" s="11"/>
      <c r="H451" s="21"/>
      <c r="I451" s="21"/>
      <c r="J451" s="21"/>
    </row>
    <row r="452" spans="1:10">
      <c r="A452" s="10"/>
      <c r="B452" s="11"/>
      <c r="H452" s="21"/>
      <c r="I452" s="21"/>
      <c r="J452" s="21"/>
    </row>
    <row r="453" spans="1:10">
      <c r="A453" s="10"/>
      <c r="B453" s="11"/>
      <c r="H453" s="21"/>
      <c r="I453" s="21"/>
      <c r="J453" s="21"/>
    </row>
    <row r="454" spans="1:10">
      <c r="A454" s="10"/>
      <c r="B454" s="11"/>
      <c r="H454" s="21"/>
      <c r="I454" s="21"/>
      <c r="J454" s="21"/>
    </row>
    <row r="455" spans="1:10">
      <c r="A455" s="10"/>
      <c r="B455" s="11"/>
      <c r="H455" s="21"/>
      <c r="I455" s="21"/>
      <c r="J455" s="21"/>
    </row>
    <row r="456" spans="1:10">
      <c r="A456" s="10"/>
      <c r="B456" s="11"/>
      <c r="H456" s="21"/>
      <c r="I456" s="21"/>
      <c r="J456" s="21"/>
    </row>
    <row r="457" spans="1:10">
      <c r="A457" s="10"/>
      <c r="B457" s="11"/>
      <c r="H457" s="21"/>
      <c r="I457" s="21"/>
      <c r="J457" s="21"/>
    </row>
    <row r="458" spans="1:10">
      <c r="A458" s="10"/>
      <c r="B458" s="11"/>
      <c r="H458" s="21"/>
      <c r="I458" s="21"/>
      <c r="J458" s="21"/>
    </row>
    <row r="459" spans="1:10">
      <c r="A459" s="10"/>
      <c r="B459" s="11"/>
      <c r="H459" s="21"/>
      <c r="I459" s="21"/>
      <c r="J459" s="21"/>
    </row>
    <row r="460" spans="1:10">
      <c r="A460" s="10"/>
      <c r="B460" s="11"/>
      <c r="H460" s="21"/>
      <c r="I460" s="21"/>
      <c r="J460" s="21"/>
    </row>
    <row r="461" spans="1:10">
      <c r="A461" s="10"/>
      <c r="B461" s="11"/>
      <c r="H461" s="21"/>
      <c r="I461" s="21"/>
      <c r="J461" s="21"/>
    </row>
    <row r="462" spans="1:10">
      <c r="A462" s="10"/>
      <c r="B462" s="11"/>
      <c r="H462" s="21"/>
      <c r="I462" s="21"/>
      <c r="J462" s="21"/>
    </row>
    <row r="463" spans="1:10">
      <c r="A463" s="10"/>
      <c r="B463" s="11"/>
      <c r="H463" s="21"/>
      <c r="I463" s="21"/>
      <c r="J463" s="21"/>
    </row>
    <row r="464" spans="1:10">
      <c r="A464" s="10"/>
      <c r="B464" s="11"/>
      <c r="H464" s="21"/>
      <c r="I464" s="21"/>
      <c r="J464" s="21"/>
    </row>
    <row r="465" spans="1:10">
      <c r="A465" s="10"/>
      <c r="B465" s="11"/>
      <c r="H465" s="21"/>
      <c r="I465" s="21"/>
      <c r="J465" s="21"/>
    </row>
    <row r="466" spans="1:10">
      <c r="A466" s="10"/>
      <c r="B466" s="11"/>
      <c r="H466" s="21"/>
      <c r="I466" s="21"/>
      <c r="J466" s="21"/>
    </row>
    <row r="467" spans="1:10">
      <c r="A467" s="10"/>
      <c r="B467" s="11"/>
      <c r="H467" s="21"/>
      <c r="I467" s="21"/>
      <c r="J467" s="21"/>
    </row>
    <row r="468" spans="1:10">
      <c r="A468" s="10"/>
      <c r="B468" s="11"/>
      <c r="H468" s="21"/>
      <c r="I468" s="21"/>
      <c r="J468" s="21"/>
    </row>
    <row r="469" spans="1:10">
      <c r="A469" s="10"/>
      <c r="B469" s="11"/>
      <c r="H469" s="21"/>
      <c r="I469" s="21"/>
      <c r="J469" s="21"/>
    </row>
    <row r="470" spans="1:10">
      <c r="A470" s="10"/>
      <c r="B470" s="11"/>
      <c r="H470" s="21"/>
      <c r="I470" s="21"/>
      <c r="J470" s="21"/>
    </row>
    <row r="471" spans="1:10">
      <c r="A471" s="10"/>
      <c r="B471" s="11"/>
      <c r="H471" s="21"/>
      <c r="I471" s="21"/>
      <c r="J471" s="21"/>
    </row>
    <row r="472" spans="1:10">
      <c r="A472" s="10"/>
      <c r="B472" s="11"/>
      <c r="H472" s="21"/>
      <c r="I472" s="21"/>
      <c r="J472" s="21"/>
    </row>
    <row r="473" spans="1:10">
      <c r="A473" s="10"/>
      <c r="B473" s="11"/>
      <c r="H473" s="21"/>
      <c r="I473" s="21"/>
      <c r="J473" s="21"/>
    </row>
    <row r="474" spans="1:10">
      <c r="A474" s="10"/>
      <c r="B474" s="11"/>
      <c r="H474" s="21"/>
      <c r="I474" s="21"/>
      <c r="J474" s="21"/>
    </row>
    <row r="475" spans="1:10">
      <c r="A475" s="10"/>
      <c r="B475" s="11"/>
      <c r="H475" s="21"/>
      <c r="I475" s="21"/>
      <c r="J475" s="21"/>
    </row>
    <row r="476" spans="1:10">
      <c r="A476" s="10"/>
      <c r="B476" s="11"/>
      <c r="H476" s="21"/>
      <c r="I476" s="21"/>
      <c r="J476" s="21"/>
    </row>
    <row r="477" spans="1:10">
      <c r="A477" s="10"/>
      <c r="B477" s="11"/>
      <c r="H477" s="21"/>
      <c r="I477" s="21"/>
      <c r="J477" s="21"/>
    </row>
    <row r="478" spans="1:10">
      <c r="A478" s="10"/>
      <c r="B478" s="11"/>
      <c r="H478" s="21"/>
      <c r="I478" s="21"/>
      <c r="J478" s="21"/>
    </row>
    <row r="479" spans="1:10">
      <c r="A479" s="10"/>
      <c r="B479" s="11"/>
      <c r="H479" s="21"/>
      <c r="I479" s="21"/>
      <c r="J479" s="21"/>
    </row>
    <row r="480" spans="1:10">
      <c r="A480" s="10"/>
      <c r="B480" s="11"/>
      <c r="H480" s="21"/>
      <c r="I480" s="21"/>
      <c r="J480" s="21"/>
    </row>
    <row r="481" spans="1:10">
      <c r="A481" s="10"/>
      <c r="B481" s="11"/>
      <c r="H481" s="21"/>
      <c r="I481" s="21"/>
      <c r="J481" s="21"/>
    </row>
    <row r="482" spans="1:10">
      <c r="A482" s="10"/>
      <c r="B482" s="11"/>
      <c r="H482" s="21"/>
      <c r="I482" s="21"/>
      <c r="J482" s="21"/>
    </row>
    <row r="483" spans="1:10">
      <c r="A483" s="10"/>
      <c r="B483" s="11"/>
      <c r="H483" s="21"/>
      <c r="I483" s="21"/>
      <c r="J483" s="21"/>
    </row>
    <row r="484" spans="1:10">
      <c r="A484" s="10"/>
      <c r="B484" s="11"/>
      <c r="H484" s="21"/>
      <c r="I484" s="21"/>
      <c r="J484" s="21"/>
    </row>
    <row r="485" spans="1:10">
      <c r="A485" s="10"/>
      <c r="B485" s="11"/>
      <c r="H485" s="21"/>
      <c r="I485" s="21"/>
      <c r="J485" s="21"/>
    </row>
    <row r="486" spans="1:10">
      <c r="A486" s="10"/>
      <c r="B486" s="11"/>
      <c r="H486" s="21"/>
      <c r="I486" s="21"/>
      <c r="J486" s="21"/>
    </row>
    <row r="487" spans="1:10">
      <c r="A487" s="10"/>
      <c r="B487" s="11"/>
      <c r="H487" s="21"/>
      <c r="I487" s="21"/>
      <c r="J487" s="21"/>
    </row>
    <row r="488" spans="1:10">
      <c r="A488" s="10"/>
      <c r="B488" s="11"/>
      <c r="H488" s="21"/>
      <c r="I488" s="21"/>
      <c r="J488" s="21"/>
    </row>
    <row r="489" spans="1:10">
      <c r="A489" s="10"/>
      <c r="B489" s="11"/>
      <c r="H489" s="21"/>
      <c r="I489" s="21"/>
      <c r="J489" s="21"/>
    </row>
    <row r="490" spans="1:10">
      <c r="A490" s="10"/>
      <c r="B490" s="11"/>
      <c r="H490" s="21"/>
      <c r="I490" s="21"/>
      <c r="J490" s="21"/>
    </row>
    <row r="491" spans="1:10">
      <c r="A491" s="10"/>
      <c r="B491" s="11"/>
      <c r="H491" s="21"/>
      <c r="I491" s="21"/>
      <c r="J491" s="21"/>
    </row>
    <row r="492" spans="1:10">
      <c r="A492" s="10"/>
      <c r="B492" s="11"/>
      <c r="H492" s="21"/>
      <c r="I492" s="21"/>
      <c r="J492" s="21"/>
    </row>
    <row r="493" spans="1:10">
      <c r="A493" s="10"/>
      <c r="B493" s="11"/>
      <c r="H493" s="21"/>
      <c r="I493" s="21"/>
      <c r="J493" s="21"/>
    </row>
    <row r="494" spans="1:10">
      <c r="A494" s="10"/>
      <c r="B494" s="11"/>
      <c r="H494" s="21"/>
      <c r="I494" s="21"/>
      <c r="J494" s="21"/>
    </row>
    <row r="495" spans="1:10">
      <c r="A495" s="10"/>
      <c r="B495" s="11"/>
      <c r="H495" s="21"/>
      <c r="I495" s="21"/>
      <c r="J495" s="21"/>
    </row>
    <row r="496" spans="1:10">
      <c r="A496" s="10"/>
      <c r="B496" s="11"/>
      <c r="H496" s="21"/>
      <c r="I496" s="21"/>
      <c r="J496" s="21"/>
    </row>
    <row r="497" spans="1:10">
      <c r="A497" s="10"/>
      <c r="B497" s="11"/>
      <c r="H497" s="21"/>
      <c r="I497" s="21"/>
      <c r="J497" s="21"/>
    </row>
    <row r="498" spans="1:10">
      <c r="A498" s="10"/>
      <c r="B498" s="11"/>
      <c r="H498" s="21"/>
      <c r="I498" s="21"/>
      <c r="J498" s="21"/>
    </row>
    <row r="499" spans="1:10">
      <c r="A499" s="10"/>
      <c r="B499" s="11"/>
      <c r="H499" s="21"/>
      <c r="I499" s="21"/>
      <c r="J499" s="21"/>
    </row>
    <row r="500" spans="1:10">
      <c r="A500" s="10"/>
      <c r="B500" s="11"/>
      <c r="H500" s="21"/>
      <c r="I500" s="21"/>
      <c r="J500" s="21"/>
    </row>
    <row r="501" spans="1:10">
      <c r="A501" s="10"/>
      <c r="B501" s="11"/>
      <c r="H501" s="21"/>
      <c r="I501" s="21"/>
      <c r="J501" s="21"/>
    </row>
    <row r="502" spans="1:10">
      <c r="A502" s="10"/>
      <c r="B502" s="11"/>
      <c r="H502" s="21"/>
      <c r="I502" s="21"/>
      <c r="J502" s="21"/>
    </row>
    <row r="503" spans="1:10">
      <c r="A503" s="10"/>
      <c r="B503" s="11"/>
      <c r="H503" s="21"/>
      <c r="I503" s="21"/>
      <c r="J503" s="21"/>
    </row>
    <row r="504" spans="1:10">
      <c r="A504" s="10"/>
      <c r="B504" s="11"/>
      <c r="H504" s="21"/>
      <c r="I504" s="21"/>
      <c r="J504" s="21"/>
    </row>
    <row r="505" spans="1:10">
      <c r="A505" s="10"/>
      <c r="B505" s="11"/>
      <c r="H505" s="21"/>
      <c r="I505" s="21"/>
      <c r="J505" s="21"/>
    </row>
    <row r="506" spans="1:10">
      <c r="A506" s="10"/>
      <c r="B506" s="11"/>
      <c r="H506" s="21"/>
      <c r="I506" s="21"/>
      <c r="J506" s="21"/>
    </row>
    <row r="507" spans="1:10">
      <c r="A507" s="10"/>
      <c r="B507" s="11"/>
      <c r="H507" s="21"/>
      <c r="I507" s="21"/>
      <c r="J507" s="21"/>
    </row>
    <row r="508" spans="1:10">
      <c r="A508" s="10"/>
      <c r="B508" s="11"/>
      <c r="H508" s="21"/>
      <c r="I508" s="21"/>
      <c r="J508" s="21"/>
    </row>
    <row r="509" spans="1:10">
      <c r="A509" s="10"/>
      <c r="B509" s="11"/>
      <c r="H509" s="21"/>
      <c r="I509" s="21"/>
      <c r="J509" s="21"/>
    </row>
    <row r="510" spans="1:10">
      <c r="A510" s="10"/>
      <c r="B510" s="11"/>
      <c r="H510" s="21"/>
      <c r="I510" s="21"/>
      <c r="J510" s="21"/>
    </row>
    <row r="511" spans="1:10">
      <c r="A511" s="10"/>
      <c r="B511" s="11"/>
      <c r="H511" s="21"/>
      <c r="I511" s="21"/>
      <c r="J511" s="21"/>
    </row>
    <row r="512" spans="1:10">
      <c r="A512" s="10"/>
      <c r="B512" s="11"/>
      <c r="H512" s="21"/>
      <c r="I512" s="21"/>
      <c r="J512" s="21"/>
    </row>
    <row r="513" spans="1:10">
      <c r="A513" s="10"/>
      <c r="B513" s="11"/>
      <c r="H513" s="21"/>
      <c r="I513" s="21"/>
      <c r="J513" s="21"/>
    </row>
    <row r="514" spans="1:10">
      <c r="A514" s="10"/>
      <c r="B514" s="11"/>
      <c r="H514" s="21"/>
      <c r="I514" s="21"/>
      <c r="J514" s="21"/>
    </row>
    <row r="515" spans="1:10">
      <c r="A515" s="10"/>
      <c r="B515" s="11"/>
      <c r="H515" s="21"/>
      <c r="I515" s="21"/>
      <c r="J515" s="21"/>
    </row>
    <row r="516" spans="1:10">
      <c r="A516" s="10"/>
      <c r="B516" s="11"/>
      <c r="H516" s="21"/>
      <c r="I516" s="21"/>
      <c r="J516" s="21"/>
    </row>
    <row r="517" spans="1:10">
      <c r="A517" s="10"/>
      <c r="B517" s="11"/>
      <c r="H517" s="21"/>
      <c r="I517" s="21"/>
      <c r="J517" s="21"/>
    </row>
    <row r="518" spans="1:10">
      <c r="A518" s="10"/>
      <c r="B518" s="11"/>
      <c r="H518" s="21"/>
      <c r="I518" s="21"/>
      <c r="J518" s="21"/>
    </row>
    <row r="519" spans="1:10">
      <c r="A519" s="10"/>
      <c r="B519" s="11"/>
      <c r="H519" s="21"/>
      <c r="I519" s="21"/>
      <c r="J519" s="21"/>
    </row>
    <row r="520" spans="1:10">
      <c r="A520" s="10"/>
      <c r="B520" s="11"/>
      <c r="H520" s="21"/>
      <c r="I520" s="21"/>
      <c r="J520" s="21"/>
    </row>
    <row r="521" spans="1:10">
      <c r="A521" s="10"/>
      <c r="B521" s="11"/>
      <c r="H521" s="21"/>
      <c r="I521" s="21"/>
      <c r="J521" s="21"/>
    </row>
    <row r="522" spans="1:10">
      <c r="A522" s="10"/>
      <c r="B522" s="11"/>
      <c r="H522" s="21"/>
      <c r="I522" s="21"/>
      <c r="J522" s="21"/>
    </row>
    <row r="523" spans="1:10">
      <c r="A523" s="10"/>
      <c r="B523" s="11"/>
      <c r="H523" s="21"/>
      <c r="I523" s="21"/>
      <c r="J523" s="21"/>
    </row>
    <row r="524" spans="1:10">
      <c r="A524" s="10"/>
      <c r="B524" s="11"/>
      <c r="H524" s="21"/>
      <c r="I524" s="21"/>
      <c r="J524" s="21"/>
    </row>
    <row r="525" spans="1:10">
      <c r="A525" s="10"/>
      <c r="B525" s="11"/>
      <c r="H525" s="21"/>
      <c r="I525" s="21"/>
      <c r="J525" s="21"/>
    </row>
    <row r="526" spans="1:10">
      <c r="A526" s="10"/>
      <c r="B526" s="11"/>
      <c r="H526" s="21"/>
      <c r="I526" s="21"/>
      <c r="J526" s="21"/>
    </row>
    <row r="527" spans="1:10">
      <c r="A527" s="10"/>
      <c r="B527" s="11"/>
      <c r="H527" s="21"/>
      <c r="I527" s="21"/>
      <c r="J527" s="21"/>
    </row>
    <row r="528" spans="1:10">
      <c r="A528" s="10"/>
      <c r="B528" s="11"/>
      <c r="H528" s="21"/>
      <c r="I528" s="21"/>
      <c r="J528" s="21"/>
    </row>
    <row r="529" spans="1:10">
      <c r="A529" s="10"/>
      <c r="B529" s="11"/>
      <c r="H529" s="21"/>
      <c r="I529" s="21"/>
      <c r="J529" s="21"/>
    </row>
    <row r="530" spans="1:10">
      <c r="A530" s="10"/>
      <c r="B530" s="11"/>
      <c r="H530" s="21"/>
      <c r="I530" s="21"/>
      <c r="J530" s="21"/>
    </row>
    <row r="531" spans="1:10">
      <c r="A531" s="10"/>
      <c r="B531" s="11"/>
      <c r="H531" s="21"/>
      <c r="I531" s="21"/>
      <c r="J531" s="21"/>
    </row>
    <row r="532" spans="1:10">
      <c r="A532" s="10"/>
      <c r="B532" s="11"/>
      <c r="H532" s="21"/>
      <c r="I532" s="21"/>
      <c r="J532" s="21"/>
    </row>
    <row r="533" spans="1:10">
      <c r="A533" s="10"/>
      <c r="B533" s="11"/>
      <c r="H533" s="21"/>
      <c r="I533" s="21"/>
      <c r="J533" s="21"/>
    </row>
    <row r="534" spans="1:10">
      <c r="A534" s="10"/>
      <c r="B534" s="11"/>
      <c r="H534" s="21"/>
      <c r="I534" s="21"/>
      <c r="J534" s="21"/>
    </row>
    <row r="535" spans="1:10">
      <c r="A535" s="10"/>
      <c r="B535" s="11"/>
      <c r="H535" s="21"/>
      <c r="I535" s="21"/>
      <c r="J535" s="21"/>
    </row>
    <row r="536" spans="1:10">
      <c r="A536" s="10"/>
      <c r="B536" s="11"/>
      <c r="H536" s="21"/>
      <c r="I536" s="21"/>
      <c r="J536" s="21"/>
    </row>
    <row r="537" spans="1:10">
      <c r="A537" s="10"/>
      <c r="B537" s="11"/>
      <c r="H537" s="21"/>
      <c r="I537" s="21"/>
      <c r="J537" s="21"/>
    </row>
    <row r="538" spans="1:10">
      <c r="A538" s="10"/>
      <c r="B538" s="11"/>
      <c r="H538" s="21"/>
      <c r="I538" s="21"/>
      <c r="J538" s="21"/>
    </row>
    <row r="539" spans="1:10">
      <c r="A539" s="10"/>
      <c r="B539" s="11"/>
      <c r="H539" s="21"/>
      <c r="I539" s="21"/>
      <c r="J539" s="21"/>
    </row>
    <row r="540" spans="1:10">
      <c r="A540" s="10"/>
      <c r="B540" s="11"/>
      <c r="H540" s="21"/>
      <c r="I540" s="21"/>
      <c r="J540" s="21"/>
    </row>
    <row r="541" spans="1:10">
      <c r="A541" s="10"/>
      <c r="B541" s="11"/>
      <c r="H541" s="21"/>
      <c r="I541" s="21"/>
      <c r="J541" s="21"/>
    </row>
    <row r="542" spans="1:10">
      <c r="A542" s="10"/>
      <c r="B542" s="11"/>
      <c r="H542" s="21"/>
      <c r="I542" s="21"/>
      <c r="J542" s="21"/>
    </row>
    <row r="543" spans="1:10">
      <c r="A543" s="10"/>
      <c r="B543" s="11"/>
      <c r="H543" s="21"/>
      <c r="I543" s="21"/>
      <c r="J543" s="21"/>
    </row>
    <row r="544" spans="1:10">
      <c r="A544" s="10"/>
      <c r="B544" s="11"/>
      <c r="H544" s="21"/>
      <c r="I544" s="21"/>
      <c r="J544" s="21"/>
    </row>
    <row r="545" spans="1:10">
      <c r="A545" s="10"/>
      <c r="B545" s="11"/>
      <c r="H545" s="21"/>
      <c r="I545" s="21"/>
      <c r="J545" s="21"/>
    </row>
    <row r="546" spans="1:10">
      <c r="A546" s="10"/>
      <c r="B546" s="11"/>
      <c r="H546" s="21"/>
      <c r="I546" s="21"/>
      <c r="J546" s="21"/>
    </row>
    <row r="547" spans="1:10">
      <c r="A547" s="10"/>
      <c r="B547" s="11"/>
      <c r="H547" s="21"/>
      <c r="I547" s="21"/>
      <c r="J547" s="21"/>
    </row>
    <row r="548" spans="1:10">
      <c r="A548" s="10"/>
      <c r="B548" s="11"/>
      <c r="H548" s="21"/>
      <c r="I548" s="21"/>
      <c r="J548" s="21"/>
    </row>
    <row r="549" spans="1:10">
      <c r="A549" s="10"/>
      <c r="B549" s="11"/>
      <c r="H549" s="21"/>
      <c r="I549" s="21"/>
      <c r="J549" s="21"/>
    </row>
    <row r="550" spans="1:10">
      <c r="A550" s="10"/>
      <c r="B550" s="11"/>
      <c r="H550" s="21"/>
      <c r="I550" s="21"/>
      <c r="J550" s="21"/>
    </row>
    <row r="551" spans="1:10">
      <c r="A551" s="10"/>
      <c r="B551" s="11"/>
      <c r="H551" s="21"/>
      <c r="I551" s="21"/>
      <c r="J551" s="21"/>
    </row>
    <row r="552" spans="1:10">
      <c r="A552" s="10"/>
      <c r="B552" s="11"/>
      <c r="H552" s="21"/>
      <c r="I552" s="21"/>
      <c r="J552" s="21"/>
    </row>
    <row r="553" spans="1:10">
      <c r="A553" s="10"/>
      <c r="B553" s="11"/>
      <c r="H553" s="21"/>
      <c r="I553" s="21"/>
      <c r="J553" s="21"/>
    </row>
    <row r="554" spans="1:10">
      <c r="A554" s="10"/>
      <c r="B554" s="11"/>
      <c r="H554" s="21"/>
      <c r="I554" s="21"/>
      <c r="J554" s="21"/>
    </row>
    <row r="555" spans="1:10">
      <c r="A555" s="10"/>
      <c r="B555" s="11"/>
      <c r="H555" s="21"/>
      <c r="I555" s="21"/>
      <c r="J555" s="21"/>
    </row>
    <row r="556" spans="1:10">
      <c r="A556" s="10"/>
      <c r="B556" s="11"/>
      <c r="H556" s="21"/>
      <c r="I556" s="21"/>
      <c r="J556" s="21"/>
    </row>
    <row r="557" spans="1:10">
      <c r="A557" s="10"/>
      <c r="B557" s="11"/>
      <c r="H557" s="21"/>
      <c r="I557" s="21"/>
      <c r="J557" s="21"/>
    </row>
    <row r="558" spans="1:10">
      <c r="A558" s="10"/>
      <c r="B558" s="11"/>
      <c r="H558" s="21"/>
      <c r="I558" s="21"/>
      <c r="J558" s="21"/>
    </row>
    <row r="559" spans="1:10">
      <c r="A559" s="10"/>
      <c r="B559" s="11"/>
      <c r="H559" s="21"/>
      <c r="I559" s="21"/>
      <c r="J559" s="21"/>
    </row>
    <row r="560" spans="1:10">
      <c r="A560" s="10"/>
      <c r="B560" s="11"/>
      <c r="H560" s="21"/>
      <c r="I560" s="21"/>
      <c r="J560" s="21"/>
    </row>
    <row r="561" spans="1:10">
      <c r="A561" s="10"/>
      <c r="B561" s="11"/>
      <c r="H561" s="21"/>
      <c r="I561" s="21"/>
      <c r="J561" s="21"/>
    </row>
    <row r="562" spans="1:10">
      <c r="A562" s="10"/>
      <c r="B562" s="11"/>
      <c r="H562" s="21"/>
      <c r="I562" s="21"/>
      <c r="J562" s="21"/>
    </row>
    <row r="563" spans="1:10">
      <c r="A563" s="10"/>
      <c r="B563" s="11"/>
      <c r="H563" s="21"/>
      <c r="I563" s="21"/>
      <c r="J563" s="21"/>
    </row>
    <row r="564" spans="1:10">
      <c r="A564" s="10"/>
      <c r="B564" s="11"/>
      <c r="H564" s="21"/>
      <c r="I564" s="21"/>
      <c r="J564" s="21"/>
    </row>
    <row r="565" spans="1:10">
      <c r="A565" s="10"/>
      <c r="B565" s="11"/>
      <c r="H565" s="21"/>
      <c r="I565" s="21"/>
      <c r="J565" s="21"/>
    </row>
    <row r="566" spans="1:10">
      <c r="A566" s="10"/>
      <c r="B566" s="11"/>
      <c r="H566" s="21"/>
      <c r="I566" s="21"/>
      <c r="J566" s="21"/>
    </row>
    <row r="567" spans="1:10">
      <c r="A567" s="10"/>
      <c r="B567" s="11"/>
      <c r="H567" s="21"/>
      <c r="I567" s="21"/>
      <c r="J567" s="21"/>
    </row>
    <row r="568" spans="1:10">
      <c r="A568" s="10"/>
      <c r="B568" s="11"/>
      <c r="H568" s="21"/>
      <c r="I568" s="21"/>
      <c r="J568" s="21"/>
    </row>
    <row r="569" spans="1:10">
      <c r="A569" s="10"/>
      <c r="B569" s="11"/>
      <c r="H569" s="21"/>
      <c r="I569" s="21"/>
      <c r="J569" s="21"/>
    </row>
    <row r="570" spans="1:10">
      <c r="A570" s="10"/>
      <c r="B570" s="11"/>
      <c r="H570" s="21"/>
      <c r="I570" s="21"/>
      <c r="J570" s="21"/>
    </row>
    <row r="571" spans="1:10">
      <c r="A571" s="10"/>
      <c r="B571" s="11"/>
      <c r="H571" s="21"/>
      <c r="I571" s="21"/>
      <c r="J571" s="21"/>
    </row>
    <row r="572" spans="1:10">
      <c r="A572" s="10"/>
      <c r="B572" s="11"/>
      <c r="H572" s="21"/>
      <c r="I572" s="21"/>
      <c r="J572" s="21"/>
    </row>
    <row r="573" spans="1:10">
      <c r="A573" s="10"/>
      <c r="B573" s="11"/>
      <c r="H573" s="21"/>
      <c r="I573" s="21"/>
      <c r="J573" s="21"/>
    </row>
    <row r="574" spans="1:10">
      <c r="A574" s="10"/>
      <c r="B574" s="11"/>
      <c r="H574" s="21"/>
      <c r="I574" s="21"/>
      <c r="J574" s="21"/>
    </row>
    <row r="575" spans="1:10">
      <c r="A575" s="10"/>
      <c r="B575" s="11"/>
      <c r="H575" s="21"/>
      <c r="I575" s="21"/>
      <c r="J575" s="21"/>
    </row>
    <row r="576" spans="1:10">
      <c r="A576" s="10"/>
      <c r="B576" s="11"/>
      <c r="H576" s="21"/>
      <c r="I576" s="21"/>
      <c r="J576" s="21"/>
    </row>
    <row r="577" spans="1:10">
      <c r="A577" s="10"/>
      <c r="B577" s="11"/>
      <c r="H577" s="21"/>
      <c r="I577" s="21"/>
      <c r="J577" s="21"/>
    </row>
    <row r="578" spans="1:10">
      <c r="A578" s="10"/>
      <c r="B578" s="11"/>
      <c r="H578" s="21"/>
      <c r="I578" s="21"/>
      <c r="J578" s="21"/>
    </row>
    <row r="579" spans="1:10">
      <c r="A579" s="10"/>
      <c r="B579" s="11"/>
      <c r="H579" s="21"/>
      <c r="I579" s="21"/>
      <c r="J579" s="21"/>
    </row>
    <row r="580" spans="1:10">
      <c r="A580" s="10"/>
      <c r="B580" s="11"/>
      <c r="H580" s="21"/>
      <c r="I580" s="21"/>
      <c r="J580" s="21"/>
    </row>
    <row r="581" spans="1:10">
      <c r="A581" s="10"/>
      <c r="B581" s="11"/>
      <c r="H581" s="21"/>
      <c r="I581" s="21"/>
      <c r="J581" s="21"/>
    </row>
    <row r="582" spans="1:10">
      <c r="A582" s="10"/>
      <c r="B582" s="11"/>
      <c r="H582" s="21"/>
      <c r="I582" s="21"/>
      <c r="J582" s="21"/>
    </row>
    <row r="583" spans="1:10">
      <c r="A583" s="10"/>
      <c r="B583" s="11"/>
      <c r="H583" s="21"/>
      <c r="I583" s="21"/>
      <c r="J583" s="21"/>
    </row>
    <row r="584" spans="1:10">
      <c r="A584" s="10"/>
      <c r="B584" s="11"/>
      <c r="H584" s="21"/>
      <c r="I584" s="21"/>
      <c r="J584" s="21"/>
    </row>
    <row r="585" spans="1:10">
      <c r="A585" s="10"/>
      <c r="B585" s="11"/>
      <c r="H585" s="21"/>
      <c r="I585" s="21"/>
      <c r="J585" s="21"/>
    </row>
    <row r="586" spans="1:10">
      <c r="A586" s="10"/>
      <c r="B586" s="11"/>
      <c r="H586" s="21"/>
      <c r="I586" s="21"/>
      <c r="J586" s="21"/>
    </row>
    <row r="587" spans="1:10">
      <c r="A587" s="10"/>
      <c r="B587" s="11"/>
      <c r="H587" s="21"/>
      <c r="I587" s="21"/>
      <c r="J587" s="21"/>
    </row>
    <row r="588" spans="1:10">
      <c r="A588" s="10"/>
      <c r="B588" s="11"/>
      <c r="H588" s="21"/>
      <c r="I588" s="21"/>
      <c r="J588" s="21"/>
    </row>
    <row r="589" spans="1:10">
      <c r="A589" s="10"/>
      <c r="B589" s="11"/>
      <c r="H589" s="21"/>
      <c r="I589" s="21"/>
      <c r="J589" s="21"/>
    </row>
    <row r="590" spans="1:10">
      <c r="A590" s="10"/>
      <c r="B590" s="11"/>
      <c r="H590" s="21"/>
      <c r="I590" s="21"/>
      <c r="J590" s="21"/>
    </row>
    <row r="591" spans="1:10">
      <c r="A591" s="10"/>
      <c r="B591" s="11"/>
      <c r="H591" s="21"/>
      <c r="I591" s="21"/>
      <c r="J591" s="21"/>
    </row>
    <row r="592" spans="1:10">
      <c r="A592" s="10"/>
      <c r="B592" s="11"/>
      <c r="H592" s="21"/>
      <c r="I592" s="21"/>
      <c r="J592" s="21"/>
    </row>
    <row r="593" spans="1:10">
      <c r="A593" s="10"/>
      <c r="B593" s="11"/>
      <c r="H593" s="21"/>
      <c r="I593" s="21"/>
      <c r="J593" s="21"/>
    </row>
    <row r="594" spans="1:10">
      <c r="A594" s="10"/>
      <c r="B594" s="11"/>
      <c r="H594" s="21"/>
      <c r="I594" s="21"/>
      <c r="J594" s="21"/>
    </row>
    <row r="595" spans="1:10">
      <c r="A595" s="10"/>
      <c r="B595" s="11"/>
      <c r="H595" s="21"/>
      <c r="I595" s="21"/>
      <c r="J595" s="21"/>
    </row>
    <row r="596" spans="1:10">
      <c r="A596" s="10"/>
      <c r="B596" s="11"/>
      <c r="H596" s="21"/>
      <c r="I596" s="21"/>
      <c r="J596" s="21"/>
    </row>
    <row r="597" spans="1:10">
      <c r="A597" s="10"/>
      <c r="B597" s="11"/>
      <c r="H597" s="21"/>
      <c r="I597" s="21"/>
      <c r="J597" s="21"/>
    </row>
    <row r="598" spans="1:10">
      <c r="A598" s="10"/>
      <c r="B598" s="11"/>
      <c r="H598" s="21"/>
      <c r="I598" s="21"/>
      <c r="J598" s="21"/>
    </row>
    <row r="599" spans="1:10">
      <c r="A599" s="10"/>
      <c r="B599" s="11"/>
      <c r="H599" s="21"/>
      <c r="I599" s="21"/>
      <c r="J599" s="21"/>
    </row>
    <row r="600" spans="1:10">
      <c r="A600" s="10"/>
      <c r="B600" s="11"/>
      <c r="H600" s="21"/>
      <c r="I600" s="21"/>
      <c r="J600" s="21"/>
    </row>
    <row r="601" spans="1:10">
      <c r="A601" s="10"/>
      <c r="B601" s="11"/>
      <c r="H601" s="21"/>
      <c r="I601" s="21"/>
      <c r="J601" s="21"/>
    </row>
    <row r="602" spans="1:10">
      <c r="A602" s="10"/>
      <c r="B602" s="11"/>
      <c r="H602" s="21"/>
      <c r="I602" s="21"/>
      <c r="J602" s="21"/>
    </row>
    <row r="603" spans="1:10">
      <c r="A603" s="10"/>
      <c r="B603" s="11"/>
      <c r="H603" s="21"/>
      <c r="I603" s="21"/>
      <c r="J603" s="21"/>
    </row>
    <row r="604" spans="1:10">
      <c r="A604" s="10"/>
      <c r="B604" s="11"/>
      <c r="H604" s="21"/>
      <c r="I604" s="21"/>
      <c r="J604" s="21"/>
    </row>
    <row r="605" spans="1:10">
      <c r="A605" s="10"/>
      <c r="B605" s="11"/>
      <c r="H605" s="21"/>
      <c r="I605" s="21"/>
      <c r="J605" s="21"/>
    </row>
    <row r="606" spans="1:10">
      <c r="A606" s="10"/>
      <c r="B606" s="11"/>
      <c r="H606" s="21"/>
      <c r="I606" s="21"/>
      <c r="J606" s="21"/>
    </row>
    <row r="607" spans="1:10">
      <c r="A607" s="10"/>
      <c r="B607" s="11"/>
      <c r="H607" s="21"/>
      <c r="I607" s="21"/>
      <c r="J607" s="21"/>
    </row>
    <row r="608" spans="1:10">
      <c r="A608" s="10"/>
      <c r="B608" s="11"/>
      <c r="H608" s="21"/>
      <c r="I608" s="21"/>
      <c r="J608" s="21"/>
    </row>
    <row r="609" spans="1:10">
      <c r="A609" s="10"/>
      <c r="B609" s="11"/>
      <c r="H609" s="21"/>
      <c r="I609" s="21"/>
      <c r="J609" s="21"/>
    </row>
    <row r="610" spans="1:10">
      <c r="A610" s="10"/>
      <c r="B610" s="11"/>
      <c r="H610" s="21"/>
      <c r="I610" s="21"/>
      <c r="J610" s="21"/>
    </row>
    <row r="611" spans="1:10">
      <c r="A611" s="10"/>
      <c r="B611" s="11"/>
      <c r="H611" s="21"/>
      <c r="I611" s="21"/>
      <c r="J611" s="21"/>
    </row>
    <row r="612" spans="1:10">
      <c r="A612" s="10"/>
      <c r="B612" s="11"/>
      <c r="H612" s="21"/>
      <c r="I612" s="21"/>
      <c r="J612" s="21"/>
    </row>
    <row r="613" spans="1:10">
      <c r="A613" s="10"/>
      <c r="B613" s="11"/>
      <c r="H613" s="21"/>
      <c r="I613" s="21"/>
      <c r="J613" s="21"/>
    </row>
    <row r="614" spans="1:10">
      <c r="A614" s="10"/>
      <c r="B614" s="11"/>
      <c r="H614" s="21"/>
      <c r="I614" s="21"/>
      <c r="J614" s="21"/>
    </row>
    <row r="615" spans="1:10">
      <c r="A615" s="10"/>
      <c r="B615" s="11"/>
      <c r="H615" s="21"/>
      <c r="I615" s="21"/>
      <c r="J615" s="21"/>
    </row>
    <row r="616" spans="1:10">
      <c r="A616" s="10"/>
      <c r="B616" s="11"/>
      <c r="H616" s="21"/>
      <c r="I616" s="21"/>
      <c r="J616" s="21"/>
    </row>
    <row r="617" spans="1:10">
      <c r="A617" s="10"/>
      <c r="B617" s="11"/>
      <c r="H617" s="21"/>
      <c r="I617" s="21"/>
      <c r="J617" s="21"/>
    </row>
    <row r="618" spans="1:10">
      <c r="A618" s="10"/>
      <c r="B618" s="11"/>
      <c r="H618" s="21"/>
      <c r="I618" s="21"/>
      <c r="J618" s="21"/>
    </row>
    <row r="619" spans="1:10">
      <c r="A619" s="10"/>
      <c r="B619" s="11"/>
      <c r="H619" s="21"/>
      <c r="I619" s="21"/>
      <c r="J619" s="21"/>
    </row>
    <row r="620" spans="1:10">
      <c r="A620" s="10"/>
      <c r="B620" s="11"/>
      <c r="H620" s="21"/>
      <c r="I620" s="21"/>
      <c r="J620" s="21"/>
    </row>
    <row r="621" spans="1:10">
      <c r="A621" s="10"/>
      <c r="B621" s="11"/>
      <c r="H621" s="21"/>
      <c r="I621" s="21"/>
      <c r="J621" s="21"/>
    </row>
    <row r="622" spans="1:10">
      <c r="A622" s="10"/>
      <c r="B622" s="11"/>
      <c r="H622" s="21"/>
      <c r="I622" s="21"/>
      <c r="J622" s="21"/>
    </row>
    <row r="623" spans="1:10">
      <c r="A623" s="10"/>
      <c r="B623" s="11"/>
      <c r="H623" s="21"/>
      <c r="I623" s="21"/>
      <c r="J623" s="21"/>
    </row>
    <row r="624" spans="1:10">
      <c r="A624" s="10"/>
      <c r="B624" s="11"/>
      <c r="H624" s="21"/>
      <c r="I624" s="21"/>
      <c r="J624" s="21"/>
    </row>
    <row r="625" spans="1:10">
      <c r="A625" s="10"/>
      <c r="B625" s="11"/>
      <c r="H625" s="21"/>
      <c r="I625" s="21"/>
      <c r="J625" s="21"/>
    </row>
    <row r="626" spans="1:10">
      <c r="A626" s="10"/>
      <c r="B626" s="11"/>
      <c r="H626" s="21"/>
      <c r="I626" s="21"/>
      <c r="J626" s="21"/>
    </row>
    <row r="627" spans="1:10">
      <c r="A627" s="10"/>
      <c r="B627" s="11"/>
      <c r="H627" s="21"/>
      <c r="I627" s="21"/>
      <c r="J627" s="21"/>
    </row>
    <row r="628" spans="1:10">
      <c r="A628" s="10"/>
      <c r="B628" s="11"/>
      <c r="H628" s="21"/>
      <c r="I628" s="21"/>
      <c r="J628" s="21"/>
    </row>
    <row r="629" spans="1:10">
      <c r="A629" s="10"/>
      <c r="B629" s="11"/>
      <c r="H629" s="21"/>
      <c r="I629" s="21"/>
      <c r="J629" s="21"/>
    </row>
    <row r="630" spans="1:10">
      <c r="A630" s="10"/>
      <c r="B630" s="11"/>
      <c r="H630" s="21"/>
      <c r="I630" s="21"/>
      <c r="J630" s="21"/>
    </row>
    <row r="631" spans="1:10">
      <c r="A631" s="10"/>
      <c r="B631" s="11"/>
      <c r="H631" s="21"/>
      <c r="I631" s="21"/>
      <c r="J631" s="21"/>
    </row>
    <row r="632" spans="1:10">
      <c r="A632" s="10"/>
      <c r="B632" s="11"/>
      <c r="H632" s="21"/>
      <c r="I632" s="21"/>
      <c r="J632" s="21"/>
    </row>
    <row r="633" spans="1:10">
      <c r="A633" s="10"/>
      <c r="B633" s="11"/>
      <c r="H633" s="21"/>
      <c r="I633" s="21"/>
      <c r="J633" s="21"/>
    </row>
    <row r="634" spans="1:10">
      <c r="A634" s="10"/>
      <c r="B634" s="11"/>
      <c r="H634" s="21"/>
      <c r="I634" s="21"/>
      <c r="J634" s="21"/>
    </row>
    <row r="635" spans="1:10">
      <c r="A635" s="10"/>
      <c r="B635" s="11"/>
      <c r="H635" s="21"/>
      <c r="I635" s="21"/>
      <c r="J635" s="21"/>
    </row>
    <row r="636" spans="1:10">
      <c r="A636" s="10"/>
      <c r="B636" s="11"/>
      <c r="H636" s="21"/>
      <c r="I636" s="21"/>
      <c r="J636" s="21"/>
    </row>
    <row r="637" spans="1:10">
      <c r="A637" s="10"/>
      <c r="B637" s="11"/>
      <c r="H637" s="21"/>
      <c r="I637" s="21"/>
      <c r="J637" s="21"/>
    </row>
    <row r="638" spans="1:10">
      <c r="A638" s="10"/>
      <c r="B638" s="11"/>
      <c r="H638" s="21"/>
      <c r="I638" s="21"/>
      <c r="J638" s="21"/>
    </row>
    <row r="639" spans="1:10">
      <c r="A639" s="10"/>
      <c r="B639" s="11"/>
      <c r="H639" s="21"/>
      <c r="I639" s="21"/>
      <c r="J639" s="21"/>
    </row>
    <row r="640" spans="1:10">
      <c r="A640" s="12"/>
      <c r="B640" s="13"/>
      <c r="H640" s="21"/>
      <c r="I640" s="21"/>
      <c r="J640" s="21"/>
    </row>
  </sheetData>
  <phoneticPr fontId="0" type="noConversion"/>
  <hyperlinks>
    <hyperlink ref="K27:K100" r:id="rId1" display="=@if(B27&gt;=0,&quot; &quot;,L27/L$9)"/>
  </hyperlinks>
  <pageMargins left="0.75" right="0.75" top="1" bottom="1" header="0.5" footer="0.5"/>
  <pageSetup orientation="portrait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Enter your data here</vt:lpstr>
      <vt:lpstr>H1, P2</vt:lpstr>
    </vt:vector>
  </TitlesOfParts>
  <Company>NRCan.RNCan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chouser</dc:creator>
  <cp:lastModifiedBy>Sai</cp:lastModifiedBy>
  <dcterms:created xsi:type="dcterms:W3CDTF">2003-12-15T21:17:47Z</dcterms:created>
  <dcterms:modified xsi:type="dcterms:W3CDTF">2014-12-16T05:34:54Z</dcterms:modified>
</cp:coreProperties>
</file>