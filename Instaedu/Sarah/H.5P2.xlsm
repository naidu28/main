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<sst xmlns="http://schemas.openxmlformats.org/spreadsheetml/2006/main" count="24" uniqueCount="22">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</sst>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1.0462822621677395</c:v>
                </c:pt>
                <c:pt idx="3">
                  <c:v>1.0740087153277214</c:v>
                </c:pt>
                <c:pt idx="4">
                  <c:v>1.1058954653261222</c:v>
                </c:pt>
                <c:pt idx="5">
                  <c:v>1.1432515955525091</c:v>
                </c:pt>
                <c:pt idx="6">
                  <c:v>1.1880918116346941</c:v>
                </c:pt>
                <c:pt idx="7">
                  <c:v>1.2241590258076744</c:v>
                </c:pt>
                <c:pt idx="8">
                  <c:v>1.2338434040603539</c:v>
                </c:pt>
                <c:pt idx="9">
                  <c:v>1.1883202661578658</c:v>
                </c:pt>
                <c:pt idx="10">
                  <c:v>1.1091283128466758</c:v>
                </c:pt>
                <c:pt idx="11">
                  <c:v>1.0991574702895943</c:v>
                </c:pt>
                <c:pt idx="12">
                  <c:v>1.1222686737085734</c:v>
                </c:pt>
                <c:pt idx="13">
                  <c:v>1.1656729059837501</c:v>
                </c:pt>
                <c:pt idx="14">
                  <c:v>1.2404436592556982</c:v>
                </c:pt>
                <c:pt idx="15">
                  <c:v>1.3361763455890543</c:v>
                </c:pt>
                <c:pt idx="16">
                  <c:v>1.436590217148713</c:v>
                </c:pt>
                <c:pt idx="17">
                  <c:v>1.4671491253313576</c:v>
                </c:pt>
                <c:pt idx="18">
                  <c:v>1.5230344895831363</c:v>
                </c:pt>
                <c:pt idx="19">
                  <c:v>1.5547905532908495</c:v>
                </c:pt>
                <c:pt idx="20">
                  <c:v>1.5407760181148571</c:v>
                </c:pt>
                <c:pt idx="21">
                  <c:v>1.5086329761747062</c:v>
                </c:pt>
                <c:pt idx="22">
                  <c:v>1.5262515169150075</c:v>
                </c:pt>
                <c:pt idx="23">
                  <c:v>1.47736981008232</c:v>
                </c:pt>
                <c:pt idx="24">
                  <c:v>1.4988898387777565</c:v>
                </c:pt>
                <c:pt idx="25">
                  <c:v>1.5556437620477621</c:v>
                </c:pt>
                <c:pt idx="26">
                  <c:v>1.6719563697226638</c:v>
                </c:pt>
                <c:pt idx="27">
                  <c:v>1.825971982328362</c:v>
                </c:pt>
                <c:pt idx="28">
                  <c:v>2.1218761348251562</c:v>
                </c:pt>
                <c:pt idx="29">
                  <c:v>2.518747151944595</c:v>
                </c:pt>
                <c:pt idx="30">
                  <c:v>2.5451470265129656</c:v>
                </c:pt>
                <c:pt idx="31">
                  <c:v>2.4909812822552673</c:v>
                </c:pt>
                <c:pt idx="32">
                  <c:v>2.5364740184422021</c:v>
                </c:pt>
                <c:pt idx="33">
                  <c:v>2.7423889776051502</c:v>
                </c:pt>
                <c:pt idx="34">
                  <c:v>3.3232477683480055</c:v>
                </c:pt>
                <c:pt idx="35">
                  <c:v>5.0395307552235167</c:v>
                </c:pt>
                <c:pt idx="36">
                  <c:v>-1.9179218961001159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1.0000301666001008</c:v>
                </c:pt>
                <c:pt idx="2">
                  <c:v>1.0000594238011695</c:v>
                </c:pt>
                <c:pt idx="3">
                  <c:v>1.0001169565065635</c:v>
                </c:pt>
                <c:pt idx="4">
                  <c:v>1.0002304318628932</c:v>
                </c:pt>
                <c:pt idx="5">
                  <c:v>1.0004563763001439</c:v>
                </c:pt>
                <c:pt idx="6">
                  <c:v>1.0009160472627741</c:v>
                </c:pt>
                <c:pt idx="7">
                  <c:v>1.0016569008890939</c:v>
                </c:pt>
                <c:pt idx="8">
                  <c:v>1.0030410997367323</c:v>
                </c:pt>
                <c:pt idx="9">
                  <c:v>1.0007122382914728</c:v>
                </c:pt>
                <c:pt idx="10">
                  <c:v>1.0002544662634485</c:v>
                </c:pt>
                <c:pt idx="11">
                  <c:v>1.0004719893313379</c:v>
                </c:pt>
                <c:pt idx="12">
                  <c:v>1.0002077336919586</c:v>
                </c:pt>
                <c:pt idx="13">
                  <c:v>1.000652808282632</c:v>
                </c:pt>
                <c:pt idx="14">
                  <c:v>1.0017226574851721</c:v>
                </c:pt>
                <c:pt idx="15">
                  <c:v>1.0051916030753434</c:v>
                </c:pt>
                <c:pt idx="16">
                  <c:v>1.009816506407349</c:v>
                </c:pt>
                <c:pt idx="17">
                  <c:v>1.0045599367212765</c:v>
                </c:pt>
                <c:pt idx="18">
                  <c:v>1.0117753944761807</c:v>
                </c:pt>
                <c:pt idx="19">
                  <c:v>1.0085326149006948</c:v>
                </c:pt>
                <c:pt idx="20">
                  <c:v>1.0050586563162676</c:v>
                </c:pt>
                <c:pt idx="21">
                  <c:v>1.0058360120651402</c:v>
                </c:pt>
                <c:pt idx="22">
                  <c:v>1</c:v>
                </c:pt>
                <c:pt idx="23">
                  <c:v>1.0039634615772439</c:v>
                </c:pt>
                <c:pt idx="24">
                  <c:v>1.0108432230533588</c:v>
                </c:pt>
                <c:pt idx="25">
                  <c:v>1.0092048797182656</c:v>
                </c:pt>
                <c:pt idx="26">
                  <c:v>1.0109171553517433</c:v>
                </c:pt>
                <c:pt idx="27">
                  <c:v>1.0385111823222246</c:v>
                </c:pt>
                <c:pt idx="28">
                  <c:v>1.2121476123652262</c:v>
                </c:pt>
                <c:pt idx="29">
                  <c:v>1.0665177459335804</c:v>
                </c:pt>
                <c:pt idx="30">
                  <c:v>1.0299775800710409</c:v>
                </c:pt>
                <c:pt idx="31">
                  <c:v>1.0182629779320329</c:v>
                </c:pt>
                <c:pt idx="32">
                  <c:v>1.0355867970068062</c:v>
                </c:pt>
                <c:pt idx="33">
                  <c:v>1.0631669006839215</c:v>
                </c:pt>
                <c:pt idx="34">
                  <c:v>1.2900921296501453</c:v>
                </c:pt>
                <c:pt idx="35">
                  <c:v>-0.38984201506607957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0.5</c:v>
                </c:pt>
                <c:pt idx="1">
                  <c:v>0.51092563556493387</c:v>
                </c:pt>
                <c:pt idx="2">
                  <c:v>0.52317221811842685</c:v>
                </c:pt>
                <c:pt idx="3">
                  <c:v>0.53706716381754238</c:v>
                </c:pt>
                <c:pt idx="4">
                  <c:v>0.55307514943918124</c:v>
                </c:pt>
                <c:pt idx="5">
                  <c:v>0.57188667424291051</c:v>
                </c:pt>
                <c:pt idx="6">
                  <c:v>0.59459007994333313</c:v>
                </c:pt>
                <c:pt idx="7">
                  <c:v>0.61309366799296372</c:v>
                </c:pt>
                <c:pt idx="8">
                  <c:v>0.61879782245580528</c:v>
                </c:pt>
                <c:pt idx="9">
                  <c:v>0.59458331667697828</c:v>
                </c:pt>
                <c:pt idx="10">
                  <c:v>0.5547052742920654</c:v>
                </c:pt>
                <c:pt idx="11">
                  <c:v>0.54983813044451568</c:v>
                </c:pt>
                <c:pt idx="12">
                  <c:v>0.5612509033617662</c:v>
                </c:pt>
                <c:pt idx="13">
                  <c:v>0.58321693345580805</c:v>
                </c:pt>
                <c:pt idx="14">
                  <c:v>0.62129025940512461</c:v>
                </c:pt>
                <c:pt idx="15">
                  <c:v>0.58740000000000003</c:v>
                </c:pt>
                <c:pt idx="16">
                  <c:v>0.44880000000000003</c:v>
                </c:pt>
                <c:pt idx="17">
                  <c:v>0.42900000000000005</c:v>
                </c:pt>
                <c:pt idx="18">
                  <c:v>0.37619999999999998</c:v>
                </c:pt>
                <c:pt idx="19">
                  <c:v>0.36300000000000004</c:v>
                </c:pt>
                <c:pt idx="20">
                  <c:v>0.38940000000000002</c:v>
                </c:pt>
                <c:pt idx="21">
                  <c:v>0.43230000000000002</c:v>
                </c:pt>
                <c:pt idx="22">
                  <c:v>0.42240000000000005</c:v>
                </c:pt>
                <c:pt idx="23">
                  <c:v>0.48113999999999979</c:v>
                </c:pt>
                <c:pt idx="24">
                  <c:v>0.46133999999999992</c:v>
                </c:pt>
                <c:pt idx="25">
                  <c:v>0.41514000000000001</c:v>
                </c:pt>
                <c:pt idx="26">
                  <c:v>0.32273999999999992</c:v>
                </c:pt>
                <c:pt idx="27">
                  <c:v>0.23694000000000001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0.20393999999999982</c:v>
                </c:pt>
                <c:pt idx="31">
                  <c:v>0.25014000000000003</c:v>
                </c:pt>
                <c:pt idx="32">
                  <c:v>0.25014000000000003</c:v>
                </c:pt>
                <c:pt idx="33">
                  <c:v>0.21053999999999998</c:v>
                </c:pt>
                <c:pt idx="34">
                  <c:v>0.12474000000000005</c:v>
                </c:pt>
                <c:pt idx="35">
                  <c:v>-0.98231041230190874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0.18382352941176469</c:v>
                </c:pt>
                <c:pt idx="1">
                  <c:v>0.20477981385368091</c:v>
                </c:pt>
                <c:pt idx="2">
                  <c:v>0.23047234278344794</c:v>
                </c:pt>
                <c:pt idx="3">
                  <c:v>0.26262452998412833</c:v>
                </c:pt>
                <c:pt idx="4">
                  <c:v>0.30388744474680285</c:v>
                </c:pt>
                <c:pt idx="5">
                  <c:v>0.35854963902376835</c:v>
                </c:pt>
                <c:pt idx="6">
                  <c:v>0.43400735762287085</c:v>
                </c:pt>
                <c:pt idx="7">
                  <c:v>0.5025357934368555</c:v>
                </c:pt>
                <c:pt idx="8">
                  <c:v>0.51999817013092886</c:v>
                </c:pt>
                <c:pt idx="9">
                  <c:v>0.42470236905498449</c:v>
                </c:pt>
                <c:pt idx="10">
                  <c:v>0.29984068880652182</c:v>
                </c:pt>
                <c:pt idx="11">
                  <c:v>0.28637402627318526</c:v>
                </c:pt>
                <c:pt idx="12">
                  <c:v>0.31709090585410521</c:v>
                </c:pt>
                <c:pt idx="13">
                  <c:v>0.38319115207346133</c:v>
                </c:pt>
                <c:pt idx="14">
                  <c:v>0.52209265496228963</c:v>
                </c:pt>
                <c:pt idx="15">
                  <c:v>0.66</c:v>
                </c:pt>
                <c:pt idx="16">
                  <c:v>0.66</c:v>
                </c:pt>
                <c:pt idx="17">
                  <c:v>0.66</c:v>
                </c:pt>
                <c:pt idx="18">
                  <c:v>0.66</c:v>
                </c:pt>
                <c:pt idx="19">
                  <c:v>0.66</c:v>
                </c:pt>
                <c:pt idx="20">
                  <c:v>0.66</c:v>
                </c:pt>
                <c:pt idx="21">
                  <c:v>0.66</c:v>
                </c:pt>
                <c:pt idx="22">
                  <c:v>0.66</c:v>
                </c:pt>
                <c:pt idx="23">
                  <c:v>0.66</c:v>
                </c:pt>
                <c:pt idx="24">
                  <c:v>0.66</c:v>
                </c:pt>
                <c:pt idx="25">
                  <c:v>0.66</c:v>
                </c:pt>
                <c:pt idx="26">
                  <c:v>0.66</c:v>
                </c:pt>
                <c:pt idx="27">
                  <c:v>0.66</c:v>
                </c:pt>
                <c:pt idx="28">
                  <c:v>0.66</c:v>
                </c:pt>
                <c:pt idx="29">
                  <c:v>0.66</c:v>
                </c:pt>
                <c:pt idx="30">
                  <c:v>0.66</c:v>
                </c:pt>
                <c:pt idx="31">
                  <c:v>0.66</c:v>
                </c:pt>
                <c:pt idx="32">
                  <c:v>0.66</c:v>
                </c:pt>
                <c:pt idx="33">
                  <c:v>0.66</c:v>
                </c:pt>
                <c:pt idx="34">
                  <c:v>0.66</c:v>
                </c:pt>
                <c:pt idx="35">
                  <c:v>-9.9223273969890009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0.39882</cdr:x>
      <cdr:y>0.4141</cdr:y>
    </cdr:from>
    <cdr:to>
      <cdr:x>0.4037</cdr:x>
      <cdr:y>0.72961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22719" y="2417884"/>
          <a:ext cx="41868" cy="184219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0.42688</cdr:x>
      <cdr:y>0.72423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4" y="2533022"/>
          <a:ext cx="188407" cy="169565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0.261</cdr:x>
      <cdr:y>0.85479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239946" y="4990997"/>
          <a:ext cx="502418" cy="42046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0.52079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19324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.5</a:t>
          </a:r>
        </a:p>
        <a:p xmlns:a="http://schemas.openxmlformats.org/drawingml/2006/main">
          <a:r>
            <a:rPr lang="en-US" sz="1100" baseline="0"/>
            <a:t>Wave Period: 2s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0.10733</cdr:x>
      <cdr:y>0.57007</cdr:y>
    </cdr:from>
    <cdr:to>
      <cdr:x>0.26466</cdr:x>
      <cdr:y>0.61668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921099" y="3328516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0.24393</cdr:x>
      <cdr:y>0.45534</cdr:y>
    </cdr:from>
    <cdr:to>
      <cdr:x>0.26466</cdr:x>
      <cdr:y>0.56797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H="1" flipV="1">
          <a:off x="2093406" y="2658625"/>
          <a:ext cx="177940" cy="65764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0.26344</cdr:x>
      <cdr:y>0.46758</cdr:y>
    </cdr:from>
    <cdr:to>
      <cdr:x>0.26832</cdr:x>
      <cdr:y>0.56976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2260878" y="2730116"/>
          <a:ext cx="41869" cy="59662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E9" sqref="E9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3.7088083630147755</v>
      </c>
      <c r="W4" s="16">
        <f t="shared" ref="W4:AQ4" si="0">9.81/(2*PI())*$E$9^2*TANH(2*PI()*$H9/V4)</f>
        <v>6.2439981418864345</v>
      </c>
      <c r="X4" s="16">
        <f t="shared" si="0"/>
        <v>6.1930758066314384</v>
      </c>
      <c r="Y4" s="16">
        <f t="shared" si="0"/>
        <v>6.1953625376900288</v>
      </c>
      <c r="Z4" s="16">
        <f t="shared" si="0"/>
        <v>6.1952612338322819</v>
      </c>
      <c r="AA4" s="16">
        <f t="shared" si="0"/>
        <v>6.1952657244177276</v>
      </c>
      <c r="AB4" s="16">
        <f t="shared" si="0"/>
        <v>6.1952655253649871</v>
      </c>
      <c r="AC4" s="16">
        <f t="shared" si="0"/>
        <v>6.1952655341883451</v>
      </c>
      <c r="AD4" s="16">
        <f t="shared" si="0"/>
        <v>6.195265533797234</v>
      </c>
      <c r="AE4" s="16">
        <f t="shared" si="0"/>
        <v>6.1952655338145703</v>
      </c>
      <c r="AF4" s="16">
        <f t="shared" si="0"/>
        <v>6.195265533813803</v>
      </c>
      <c r="AG4" s="16">
        <f t="shared" si="0"/>
        <v>6.1952655338138367</v>
      </c>
      <c r="AH4" s="16">
        <f t="shared" si="0"/>
        <v>6.195265533813834</v>
      </c>
      <c r="AI4" s="16">
        <f t="shared" si="0"/>
        <v>6.195265533813834</v>
      </c>
      <c r="AJ4" s="16">
        <f t="shared" si="0"/>
        <v>6.195265533813834</v>
      </c>
      <c r="AK4" s="16">
        <f t="shared" si="0"/>
        <v>6.195265533813834</v>
      </c>
      <c r="AL4" s="16">
        <f t="shared" si="0"/>
        <v>6.195265533813834</v>
      </c>
      <c r="AM4" s="16">
        <f t="shared" si="0"/>
        <v>6.195265533813834</v>
      </c>
      <c r="AN4" s="16">
        <f t="shared" si="0"/>
        <v>6.195265533813834</v>
      </c>
      <c r="AO4" s="16">
        <f t="shared" si="0"/>
        <v>6.195265533813834</v>
      </c>
      <c r="AP4" s="16">
        <f t="shared" si="0"/>
        <v>6.195265533813834</v>
      </c>
      <c r="AQ4" s="16">
        <f t="shared" si="0"/>
        <v>6.195265533813834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0.5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2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0.52216336505091021</v>
      </c>
      <c r="J9" s="21">
        <f t="shared" ref="J9:J26" si="2">IF(B9&gt;=0,0,AQ9/$E$9)</f>
        <v>3.097632766906917</v>
      </c>
      <c r="K9" s="16"/>
      <c r="L9" s="19">
        <f>E8</f>
        <v>0.5</v>
      </c>
      <c r="M9" s="16"/>
      <c r="N9" s="16">
        <f>E8</f>
        <v>0.5</v>
      </c>
      <c r="O9" s="16">
        <f>E8</f>
        <v>0.5</v>
      </c>
      <c r="P9" s="16"/>
      <c r="Q9" s="16"/>
      <c r="R9" s="16"/>
      <c r="S9" s="16"/>
      <c r="T9" s="16">
        <f>O9/H9</f>
        <v>0.18382352941176469</v>
      </c>
      <c r="U9" s="16"/>
      <c r="V9" s="16">
        <f t="shared" ref="V9:V40" si="3">9.81/(2*PI())*$E$9^2*TANH(2*PI()*$H9/I$4)</f>
        <v>3.7088083630147755</v>
      </c>
      <c r="W9" s="16">
        <f t="shared" ref="W9:AQ9" si="4">9.81/(2*PI())*$E$9^2*TANH(2*PI()*$H9/V9)</f>
        <v>6.2439981418864345</v>
      </c>
      <c r="X9" s="16">
        <f t="shared" si="4"/>
        <v>6.1930758066314384</v>
      </c>
      <c r="Y9" s="16">
        <f t="shared" si="4"/>
        <v>6.1953625376900288</v>
      </c>
      <c r="Z9" s="16">
        <f t="shared" si="4"/>
        <v>6.1952612338322819</v>
      </c>
      <c r="AA9" s="16">
        <f t="shared" si="4"/>
        <v>6.1952657244177276</v>
      </c>
      <c r="AB9" s="16">
        <f t="shared" si="4"/>
        <v>6.1952655253649871</v>
      </c>
      <c r="AC9" s="16">
        <f t="shared" si="4"/>
        <v>6.1952655341883451</v>
      </c>
      <c r="AD9" s="16">
        <f t="shared" si="4"/>
        <v>6.195265533797234</v>
      </c>
      <c r="AE9" s="16">
        <f t="shared" si="4"/>
        <v>6.1952655338145703</v>
      </c>
      <c r="AF9" s="16">
        <f t="shared" si="4"/>
        <v>6.195265533813803</v>
      </c>
      <c r="AG9" s="16">
        <f t="shared" si="4"/>
        <v>6.1952655338138367</v>
      </c>
      <c r="AH9" s="16">
        <f t="shared" si="4"/>
        <v>6.195265533813834</v>
      </c>
      <c r="AI9" s="16">
        <f t="shared" si="4"/>
        <v>6.195265533813834</v>
      </c>
      <c r="AJ9" s="16">
        <f t="shared" si="4"/>
        <v>6.195265533813834</v>
      </c>
      <c r="AK9" s="16">
        <f t="shared" si="4"/>
        <v>6.195265533813834</v>
      </c>
      <c r="AL9" s="16">
        <f t="shared" si="4"/>
        <v>6.195265533813834</v>
      </c>
      <c r="AM9" s="16">
        <f t="shared" si="4"/>
        <v>6.195265533813834</v>
      </c>
      <c r="AN9" s="16">
        <f t="shared" si="4"/>
        <v>6.195265533813834</v>
      </c>
      <c r="AO9" s="16">
        <f t="shared" si="4"/>
        <v>6.195265533813834</v>
      </c>
      <c r="AP9" s="16">
        <f t="shared" si="4"/>
        <v>6.195265533813834</v>
      </c>
      <c r="AQ9" s="16">
        <f t="shared" si="4"/>
        <v>6.195265533813834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0.53152297251811231</v>
      </c>
      <c r="J10" s="21">
        <f t="shared" si="2"/>
        <v>3.0841291955994858</v>
      </c>
      <c r="K10" s="16">
        <f t="shared" ref="K10:K26" si="6">L10/L$9</f>
        <v>1.02182044628109</v>
      </c>
      <c r="L10" s="16">
        <f t="shared" ref="L10:L73" si="7">N9*(H9/H10)^0.25</f>
        <v>0.51091022314054502</v>
      </c>
      <c r="M10" s="16">
        <f t="shared" ref="M10:M41" si="8">1/(1+((64*PI()^3)/(3*9.81^2))*((S10*L9*(A10-A9))/(H10^2))*((H10^2)/($E$9^4))*(((L10/L9)^2)/(SINH(2*PI()*H10/AQ9))^3))</f>
        <v>1.0000301666001008</v>
      </c>
      <c r="N10" s="16">
        <f>M10*L10</f>
        <v>0.51092563556493387</v>
      </c>
      <c r="O10" s="16">
        <f>IF(N10/H10&gt;0.66,0.66*H10,N10)</f>
        <v>0.51092563556493387</v>
      </c>
      <c r="P10" s="16">
        <f t="shared" ref="P10:P73" si="9">K10/M10</f>
        <v>1.0217896223621652</v>
      </c>
      <c r="Q10" s="16">
        <f t="shared" ref="Q10:Q41" si="10">($E$9*R10)/(2*PI())</f>
        <v>0.15779359278542207</v>
      </c>
      <c r="R10" s="16">
        <f t="shared" ref="R10:R73" si="11">(O9/2)*SQRT(9.81/H10)</f>
        <v>0.49572319187822134</v>
      </c>
      <c r="S10" s="16">
        <f t="shared" ref="S10:S73" si="12">EXP((5.213*((2.5*$I$6)/Q10)^0.195)-5.977)</f>
        <v>6.5346587523253266E-3</v>
      </c>
      <c r="T10" s="16">
        <f t="shared" ref="T10:T73" si="13">O10/H10</f>
        <v>0.20477981385368091</v>
      </c>
      <c r="U10" s="16"/>
      <c r="V10" s="16">
        <f t="shared" si="3"/>
        <v>3.4725144503705505</v>
      </c>
      <c r="W10" s="16">
        <f t="shared" ref="W10:AQ10" si="14">9.81/(2*PI())*$E$9^2*TANH(2*PI()*$H10/V10)</f>
        <v>6.2437426560256908</v>
      </c>
      <c r="X10" s="16">
        <f t="shared" si="14"/>
        <v>6.163411382494389</v>
      </c>
      <c r="Y10" s="16">
        <f t="shared" si="14"/>
        <v>6.1685636128365129</v>
      </c>
      <c r="Z10" s="16">
        <f t="shared" si="14"/>
        <v>6.1682391467744164</v>
      </c>
      <c r="AA10" s="16">
        <f t="shared" si="14"/>
        <v>6.1682596044761873</v>
      </c>
      <c r="AB10" s="16">
        <f t="shared" si="14"/>
        <v>6.1682583147067396</v>
      </c>
      <c r="AC10" s="16">
        <f t="shared" si="14"/>
        <v>6.1682583960214963</v>
      </c>
      <c r="AD10" s="16">
        <f t="shared" si="14"/>
        <v>6.1682583908949304</v>
      </c>
      <c r="AE10" s="16">
        <f t="shared" si="14"/>
        <v>6.1682583912181395</v>
      </c>
      <c r="AF10" s="16">
        <f t="shared" si="14"/>
        <v>6.1682583911977638</v>
      </c>
      <c r="AG10" s="16">
        <f t="shared" si="14"/>
        <v>6.1682583911990472</v>
      </c>
      <c r="AH10" s="16">
        <f t="shared" si="14"/>
        <v>6.1682583911989655</v>
      </c>
      <c r="AI10" s="16">
        <f t="shared" si="14"/>
        <v>6.1682583911989717</v>
      </c>
      <c r="AJ10" s="16">
        <f t="shared" si="14"/>
        <v>6.1682583911989717</v>
      </c>
      <c r="AK10" s="16">
        <f t="shared" si="14"/>
        <v>6.1682583911989717</v>
      </c>
      <c r="AL10" s="16">
        <f t="shared" si="14"/>
        <v>6.1682583911989717</v>
      </c>
      <c r="AM10" s="16">
        <f t="shared" si="14"/>
        <v>6.1682583911989717</v>
      </c>
      <c r="AN10" s="16">
        <f t="shared" si="14"/>
        <v>6.1682583911989717</v>
      </c>
      <c r="AO10" s="16">
        <f t="shared" si="14"/>
        <v>6.1682583911989717</v>
      </c>
      <c r="AP10" s="16">
        <f t="shared" si="14"/>
        <v>6.1682583911989717</v>
      </c>
      <c r="AQ10" s="16">
        <f t="shared" si="14"/>
        <v>6.1682583911989717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0.54428071491355445</v>
      </c>
      <c r="J11" s="21">
        <f t="shared" si="2"/>
        <v>3.063780969140657</v>
      </c>
      <c r="K11" s="16">
        <f t="shared" si="6"/>
        <v>1.0462822621677395</v>
      </c>
      <c r="L11" s="16">
        <f t="shared" si="7"/>
        <v>0.52314113108386973</v>
      </c>
      <c r="M11" s="16">
        <f t="shared" si="8"/>
        <v>1.0000594238011695</v>
      </c>
      <c r="N11" s="16">
        <f t="shared" ref="N11:N74" si="15">M11*L11</f>
        <v>0.52317221811842685</v>
      </c>
      <c r="O11" s="16">
        <f t="shared" ref="O11:O74" si="16">IF(N11/H11&gt;0.66,0.66*H11,N11)</f>
        <v>0.52317221811842685</v>
      </c>
      <c r="P11" s="16">
        <f t="shared" si="9"/>
        <v>1.0462200917930251</v>
      </c>
      <c r="Q11" s="16">
        <f t="shared" si="10"/>
        <v>0.16904385984734452</v>
      </c>
      <c r="R11" s="16">
        <f t="shared" si="11"/>
        <v>0.53106694823088019</v>
      </c>
      <c r="S11" s="16">
        <f t="shared" si="12"/>
        <v>6.4526807558494019E-3</v>
      </c>
      <c r="T11" s="16">
        <f t="shared" si="13"/>
        <v>0.23047234278344794</v>
      </c>
      <c r="U11" s="16"/>
      <c r="V11" s="16">
        <f t="shared" si="3"/>
        <v>3.2208956658489289</v>
      </c>
      <c r="W11" s="16">
        <f t="shared" ref="W11:AQ11" si="17">9.81/(2*PI())*$E$9^2*TANH(2*PI()*$H11/V11)</f>
        <v>6.2434608056960839</v>
      </c>
      <c r="X11" s="16">
        <f t="shared" si="17"/>
        <v>6.117049161945225</v>
      </c>
      <c r="Y11" s="16">
        <f t="shared" si="17"/>
        <v>6.1284909137296006</v>
      </c>
      <c r="Z11" s="16">
        <f t="shared" si="17"/>
        <v>6.1274796508750997</v>
      </c>
      <c r="AA11" s="16">
        <f t="shared" si="17"/>
        <v>6.1275692256460266</v>
      </c>
      <c r="AB11" s="16">
        <f t="shared" si="17"/>
        <v>6.1275612929008894</v>
      </c>
      <c r="AC11" s="16">
        <f t="shared" si="17"/>
        <v>6.1275619954371194</v>
      </c>
      <c r="AD11" s="16">
        <f t="shared" si="17"/>
        <v>6.1275619332195141</v>
      </c>
      <c r="AE11" s="16">
        <f t="shared" si="17"/>
        <v>6.1275619387295919</v>
      </c>
      <c r="AF11" s="16">
        <f t="shared" si="17"/>
        <v>6.1275619382416133</v>
      </c>
      <c r="AG11" s="16">
        <f t="shared" si="17"/>
        <v>6.1275619382848294</v>
      </c>
      <c r="AH11" s="16">
        <f t="shared" si="17"/>
        <v>6.1275619382810005</v>
      </c>
      <c r="AI11" s="16">
        <f t="shared" si="17"/>
        <v>6.1275619382813407</v>
      </c>
      <c r="AJ11" s="16">
        <f t="shared" si="17"/>
        <v>6.1275619382813105</v>
      </c>
      <c r="AK11" s="16">
        <f t="shared" si="17"/>
        <v>6.127561938281314</v>
      </c>
      <c r="AL11" s="16">
        <f t="shared" si="17"/>
        <v>6.127561938281314</v>
      </c>
      <c r="AM11" s="16">
        <f t="shared" si="17"/>
        <v>6.127561938281314</v>
      </c>
      <c r="AN11" s="16">
        <f t="shared" si="17"/>
        <v>6.127561938281314</v>
      </c>
      <c r="AO11" s="16">
        <f t="shared" si="17"/>
        <v>6.127561938281314</v>
      </c>
      <c r="AP11" s="16">
        <f t="shared" si="17"/>
        <v>6.127561938281314</v>
      </c>
      <c r="AQ11" s="16">
        <f t="shared" si="17"/>
        <v>6.127561938281314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0.5613028909781228</v>
      </c>
      <c r="J12" s="21">
        <f t="shared" si="2"/>
        <v>3.0335407213211583</v>
      </c>
      <c r="K12" s="16">
        <f t="shared" si="6"/>
        <v>1.0740087153277214</v>
      </c>
      <c r="L12" s="16">
        <f t="shared" si="7"/>
        <v>0.53700435766386068</v>
      </c>
      <c r="M12" s="16">
        <f t="shared" si="8"/>
        <v>1.0001169565065635</v>
      </c>
      <c r="N12" s="16">
        <f t="shared" si="15"/>
        <v>0.53706716381754238</v>
      </c>
      <c r="O12" s="16">
        <f t="shared" si="16"/>
        <v>0.53706716381754238</v>
      </c>
      <c r="P12" s="16">
        <f t="shared" si="9"/>
        <v>1.0738831177098165</v>
      </c>
      <c r="Q12" s="16">
        <f t="shared" si="10"/>
        <v>0.18236968705512677</v>
      </c>
      <c r="R12" s="16">
        <f t="shared" si="11"/>
        <v>0.57293126908985581</v>
      </c>
      <c r="S12" s="16">
        <f t="shared" si="12"/>
        <v>6.3647923958906182E-3</v>
      </c>
      <c r="T12" s="16">
        <f t="shared" si="13"/>
        <v>0.26262452998412833</v>
      </c>
      <c r="U12" s="16"/>
      <c r="V12" s="16">
        <f t="shared" si="3"/>
        <v>2.9541760551915508</v>
      </c>
      <c r="W12" s="16">
        <f t="shared" ref="W12:AQ12" si="18">9.81/(2*PI())*$E$9^2*TANH(2*PI()*$H12/V12)</f>
        <v>6.2431573902361555</v>
      </c>
      <c r="X12" s="16">
        <f t="shared" si="18"/>
        <v>6.044838121450212</v>
      </c>
      <c r="Y12" s="16">
        <f t="shared" si="18"/>
        <v>6.0697980161215428</v>
      </c>
      <c r="Z12" s="16">
        <f t="shared" si="18"/>
        <v>6.0667482173547453</v>
      </c>
      <c r="AA12" s="16">
        <f t="shared" si="18"/>
        <v>6.0671222956164463</v>
      </c>
      <c r="AB12" s="16">
        <f t="shared" si="18"/>
        <v>6.0670764337958136</v>
      </c>
      <c r="AC12" s="16">
        <f t="shared" si="18"/>
        <v>6.0670820567553223</v>
      </c>
      <c r="AD12" s="16">
        <f t="shared" si="18"/>
        <v>6.0670813673485045</v>
      </c>
      <c r="AE12" s="16">
        <f t="shared" si="18"/>
        <v>6.067081451873773</v>
      </c>
      <c r="AF12" s="16">
        <f t="shared" si="18"/>
        <v>6.0670814415104868</v>
      </c>
      <c r="AG12" s="16">
        <f t="shared" si="18"/>
        <v>6.0670814427810864</v>
      </c>
      <c r="AH12" s="16">
        <f t="shared" si="18"/>
        <v>6.0670814426253035</v>
      </c>
      <c r="AI12" s="16">
        <f t="shared" si="18"/>
        <v>6.067081442644402</v>
      </c>
      <c r="AJ12" s="16">
        <f t="shared" si="18"/>
        <v>6.0670814426420616</v>
      </c>
      <c r="AK12" s="16">
        <f t="shared" si="18"/>
        <v>6.0670814426423476</v>
      </c>
      <c r="AL12" s="16">
        <f t="shared" si="18"/>
        <v>6.067081442642313</v>
      </c>
      <c r="AM12" s="16">
        <f t="shared" si="18"/>
        <v>6.0670814426423165</v>
      </c>
      <c r="AN12" s="16">
        <f t="shared" si="18"/>
        <v>6.0670814426423165</v>
      </c>
      <c r="AO12" s="16">
        <f t="shared" si="18"/>
        <v>6.0670814426423165</v>
      </c>
      <c r="AP12" s="16">
        <f t="shared" si="18"/>
        <v>6.0670814426423165</v>
      </c>
      <c r="AQ12" s="16">
        <f t="shared" si="18"/>
        <v>6.0670814426423165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0.58346966146139445</v>
      </c>
      <c r="J13" s="21">
        <f t="shared" si="2"/>
        <v>2.9893222542363134</v>
      </c>
      <c r="K13" s="16">
        <f t="shared" si="6"/>
        <v>1.1058954653261222</v>
      </c>
      <c r="L13" s="16">
        <f t="shared" si="7"/>
        <v>0.55294773266306108</v>
      </c>
      <c r="M13" s="16">
        <f t="shared" si="8"/>
        <v>1.0002304318628932</v>
      </c>
      <c r="N13" s="16">
        <f t="shared" si="15"/>
        <v>0.55307514943918124</v>
      </c>
      <c r="O13" s="16">
        <f t="shared" si="16"/>
        <v>0.55307514943918124</v>
      </c>
      <c r="P13" s="16">
        <f t="shared" si="9"/>
        <v>1.1056406904821239</v>
      </c>
      <c r="Q13" s="16">
        <f t="shared" si="10"/>
        <v>0.19844837263327764</v>
      </c>
      <c r="R13" s="16">
        <f t="shared" si="11"/>
        <v>0.6234439495815548</v>
      </c>
      <c r="S13" s="16">
        <f t="shared" si="12"/>
        <v>6.2698179051599934E-3</v>
      </c>
      <c r="T13" s="16">
        <f t="shared" si="13"/>
        <v>0.30388744474680285</v>
      </c>
      <c r="U13" s="16"/>
      <c r="V13" s="16">
        <f t="shared" si="3"/>
        <v>2.672811272418079</v>
      </c>
      <c r="W13" s="16">
        <f t="shared" ref="W13:AQ13" si="19">9.81/(2*PI())*$E$9^2*TANH(2*PI()*$H13/V13)</f>
        <v>6.2428394148152666</v>
      </c>
      <c r="X13" s="16">
        <f t="shared" si="19"/>
        <v>5.9329666284298472</v>
      </c>
      <c r="Y13" s="16">
        <f t="shared" si="19"/>
        <v>5.9862212911141501</v>
      </c>
      <c r="Z13" s="16">
        <f t="shared" si="19"/>
        <v>5.9773783144216424</v>
      </c>
      <c r="AA13" s="16">
        <f t="shared" si="19"/>
        <v>5.9788558488413264</v>
      </c>
      <c r="AB13" s="16">
        <f t="shared" si="19"/>
        <v>5.9786092264181336</v>
      </c>
      <c r="AC13" s="16">
        <f t="shared" si="19"/>
        <v>5.9786503984060291</v>
      </c>
      <c r="AD13" s="16">
        <f t="shared" si="19"/>
        <v>5.9786435252103267</v>
      </c>
      <c r="AE13" s="16">
        <f t="shared" si="19"/>
        <v>5.9786446726177473</v>
      </c>
      <c r="AF13" s="16">
        <f t="shared" si="19"/>
        <v>5.9786444810703516</v>
      </c>
      <c r="AG13" s="16">
        <f t="shared" si="19"/>
        <v>5.9786445130471444</v>
      </c>
      <c r="AH13" s="16">
        <f t="shared" si="19"/>
        <v>5.9786445077089603</v>
      </c>
      <c r="AI13" s="16">
        <f t="shared" si="19"/>
        <v>5.9786445086001123</v>
      </c>
      <c r="AJ13" s="16">
        <f t="shared" si="19"/>
        <v>5.9786445084513451</v>
      </c>
      <c r="AK13" s="16">
        <f t="shared" si="19"/>
        <v>5.9786445084761786</v>
      </c>
      <c r="AL13" s="16">
        <f t="shared" si="19"/>
        <v>5.9786445084720334</v>
      </c>
      <c r="AM13" s="16">
        <f t="shared" si="19"/>
        <v>5.9786445084727262</v>
      </c>
      <c r="AN13" s="16">
        <f t="shared" si="19"/>
        <v>5.9786445084726099</v>
      </c>
      <c r="AO13" s="16">
        <f t="shared" si="19"/>
        <v>5.9786445084726294</v>
      </c>
      <c r="AP13" s="16">
        <f t="shared" si="19"/>
        <v>5.9786445084726259</v>
      </c>
      <c r="AQ13" s="16">
        <f t="shared" si="19"/>
        <v>5.9786445084726267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0.61157766246215173</v>
      </c>
      <c r="J14" s="21">
        <f t="shared" si="2"/>
        <v>2.9258024799773987</v>
      </c>
      <c r="K14" s="16">
        <f t="shared" si="6"/>
        <v>1.1432515955525091</v>
      </c>
      <c r="L14" s="16">
        <f t="shared" si="7"/>
        <v>0.57162579777625455</v>
      </c>
      <c r="M14" s="16">
        <f t="shared" si="8"/>
        <v>1.0004563763001439</v>
      </c>
      <c r="N14" s="16">
        <f t="shared" si="15"/>
        <v>0.57188667424291051</v>
      </c>
      <c r="O14" s="16">
        <f t="shared" si="16"/>
        <v>0.57188667424291051</v>
      </c>
      <c r="P14" s="16">
        <f t="shared" si="9"/>
        <v>1.1427300806262497</v>
      </c>
      <c r="Q14" s="16">
        <f t="shared" si="10"/>
        <v>0.21830236313167473</v>
      </c>
      <c r="R14" s="16">
        <f t="shared" si="11"/>
        <v>0.68581710027576059</v>
      </c>
      <c r="S14" s="16">
        <f t="shared" si="12"/>
        <v>6.166156253441319E-3</v>
      </c>
      <c r="T14" s="16">
        <f t="shared" si="13"/>
        <v>0.35854963902376835</v>
      </c>
      <c r="U14" s="16"/>
      <c r="V14" s="16">
        <f t="shared" si="3"/>
        <v>2.3775050678412901</v>
      </c>
      <c r="W14" s="16">
        <f t="shared" ref="W14:AQ14" si="20">9.81/(2*PI())*$E$9^2*TANH(2*PI()*$H14/V14)</f>
        <v>6.2425160086119327</v>
      </c>
      <c r="X14" s="16">
        <f t="shared" si="20"/>
        <v>5.7610843765339865</v>
      </c>
      <c r="Y14" s="16">
        <f t="shared" si="20"/>
        <v>5.8716131948743042</v>
      </c>
      <c r="Z14" s="16">
        <f t="shared" si="20"/>
        <v>5.8471308160021689</v>
      </c>
      <c r="AA14" s="16">
        <f t="shared" si="20"/>
        <v>5.8526029270238533</v>
      </c>
      <c r="AB14" s="16">
        <f t="shared" si="20"/>
        <v>5.8513822353264784</v>
      </c>
      <c r="AC14" s="16">
        <f t="shared" si="20"/>
        <v>5.8516546609975695</v>
      </c>
      <c r="AD14" s="16">
        <f t="shared" si="20"/>
        <v>5.8515938688454403</v>
      </c>
      <c r="AE14" s="16">
        <f t="shared" si="20"/>
        <v>5.8516074349920268</v>
      </c>
      <c r="AF14" s="16">
        <f t="shared" si="20"/>
        <v>5.8516044076368736</v>
      </c>
      <c r="AG14" s="16">
        <f t="shared" si="20"/>
        <v>5.8516050832074296</v>
      </c>
      <c r="AH14" s="16">
        <f t="shared" si="20"/>
        <v>5.851604932450269</v>
      </c>
      <c r="AI14" s="16">
        <f t="shared" si="20"/>
        <v>5.851604966092534</v>
      </c>
      <c r="AJ14" s="16">
        <f t="shared" si="20"/>
        <v>5.8516049585850833</v>
      </c>
      <c r="AK14" s="16">
        <f t="shared" si="20"/>
        <v>5.851604960260409</v>
      </c>
      <c r="AL14" s="16">
        <f t="shared" si="20"/>
        <v>5.8516049598865525</v>
      </c>
      <c r="AM14" s="16">
        <f t="shared" si="20"/>
        <v>5.85160495996998</v>
      </c>
      <c r="AN14" s="16">
        <f t="shared" si="20"/>
        <v>5.8516049599513629</v>
      </c>
      <c r="AO14" s="16">
        <f t="shared" si="20"/>
        <v>5.851604959955516</v>
      </c>
      <c r="AP14" s="16">
        <f t="shared" si="20"/>
        <v>5.8516049599545914</v>
      </c>
      <c r="AQ14" s="16">
        <f t="shared" si="20"/>
        <v>5.8516049599547975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0.64623822365528816</v>
      </c>
      <c r="J15" s="21">
        <f t="shared" si="2"/>
        <v>2.8361715828567511</v>
      </c>
      <c r="K15" s="16">
        <f t="shared" si="6"/>
        <v>1.1880918116346941</v>
      </c>
      <c r="L15" s="16">
        <f t="shared" si="7"/>
        <v>0.59404590581734706</v>
      </c>
      <c r="M15" s="16">
        <f t="shared" si="8"/>
        <v>1.0009160472627741</v>
      </c>
      <c r="N15" s="16">
        <f t="shared" si="15"/>
        <v>0.59459007994333313</v>
      </c>
      <c r="O15" s="16">
        <f t="shared" si="16"/>
        <v>0.59459007994333313</v>
      </c>
      <c r="P15" s="16">
        <f t="shared" si="9"/>
        <v>1.1870044594487155</v>
      </c>
      <c r="Q15" s="16">
        <f t="shared" si="10"/>
        <v>0.2435590821500094</v>
      </c>
      <c r="R15" s="16">
        <f t="shared" si="11"/>
        <v>0.76516342319754249</v>
      </c>
      <c r="S15" s="16">
        <f t="shared" si="12"/>
        <v>6.0515384755809492E-3</v>
      </c>
      <c r="T15" s="16">
        <f t="shared" si="13"/>
        <v>0.43400735762287085</v>
      </c>
      <c r="U15" s="16"/>
      <c r="V15" s="16">
        <f t="shared" si="3"/>
        <v>2.069218826646821</v>
      </c>
      <c r="W15" s="16">
        <f t="shared" ref="W15:AQ15" si="21">9.81/(2*PI())*$E$9^2*TANH(2*PI()*$H15/V15)</f>
        <v>6.2421981184979565</v>
      </c>
      <c r="X15" s="16">
        <f t="shared" si="21"/>
        <v>5.5003462363221711</v>
      </c>
      <c r="Y15" s="16">
        <f t="shared" si="21"/>
        <v>5.7220419268634286</v>
      </c>
      <c r="Z15" s="16">
        <f t="shared" si="21"/>
        <v>5.6577599612378542</v>
      </c>
      <c r="AA15" s="16">
        <f t="shared" si="21"/>
        <v>5.6766042433420356</v>
      </c>
      <c r="AB15" s="16">
        <f t="shared" si="21"/>
        <v>5.6710965471044785</v>
      </c>
      <c r="AC15" s="16">
        <f t="shared" si="21"/>
        <v>5.6727077419534959</v>
      </c>
      <c r="AD15" s="16">
        <f t="shared" si="21"/>
        <v>5.6722365331417359</v>
      </c>
      <c r="AE15" s="16">
        <f t="shared" si="21"/>
        <v>5.6723743529916524</v>
      </c>
      <c r="AF15" s="16">
        <f t="shared" si="21"/>
        <v>5.672334044134419</v>
      </c>
      <c r="AG15" s="16">
        <f t="shared" si="21"/>
        <v>5.6723458335431287</v>
      </c>
      <c r="AH15" s="16">
        <f t="shared" si="21"/>
        <v>5.6723423854202375</v>
      </c>
      <c r="AI15" s="16">
        <f t="shared" si="21"/>
        <v>5.6723433939150976</v>
      </c>
      <c r="AJ15" s="16">
        <f t="shared" si="21"/>
        <v>5.6723430989541148</v>
      </c>
      <c r="AK15" s="16">
        <f t="shared" si="21"/>
        <v>5.6723431852232551</v>
      </c>
      <c r="AL15" s="16">
        <f t="shared" si="21"/>
        <v>5.6723431599915637</v>
      </c>
      <c r="AM15" s="16">
        <f t="shared" si="21"/>
        <v>5.6723431673712392</v>
      </c>
      <c r="AN15" s="16">
        <f t="shared" si="21"/>
        <v>5.6723431652128573</v>
      </c>
      <c r="AO15" s="16">
        <f t="shared" si="21"/>
        <v>5.6723431658441337</v>
      </c>
      <c r="AP15" s="16">
        <f t="shared" si="21"/>
        <v>5.6723431656594991</v>
      </c>
      <c r="AQ15" s="16">
        <f t="shared" si="21"/>
        <v>5.6723431657135022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0.67317019786215226</v>
      </c>
      <c r="J16" s="21">
        <f t="shared" si="2"/>
        <v>2.7576944018135228</v>
      </c>
      <c r="K16" s="16">
        <f t="shared" si="6"/>
        <v>1.2241590258076744</v>
      </c>
      <c r="L16" s="16">
        <f t="shared" si="7"/>
        <v>0.61207951290383722</v>
      </c>
      <c r="M16" s="16">
        <f t="shared" si="8"/>
        <v>1.0016569008890939</v>
      </c>
      <c r="N16" s="16">
        <f t="shared" si="15"/>
        <v>0.61309366799296372</v>
      </c>
      <c r="O16" s="16">
        <f t="shared" si="16"/>
        <v>0.61309366799296372</v>
      </c>
      <c r="P16" s="16">
        <f t="shared" si="9"/>
        <v>1.2221340707792085</v>
      </c>
      <c r="Q16" s="16">
        <f t="shared" si="10"/>
        <v>0.26834430278299914</v>
      </c>
      <c r="R16" s="16">
        <f t="shared" si="11"/>
        <v>0.84302849025574511</v>
      </c>
      <c r="S16" s="16">
        <f t="shared" si="12"/>
        <v>5.9538269112238149E-3</v>
      </c>
      <c r="T16" s="16">
        <f t="shared" si="13"/>
        <v>0.5025357934368555</v>
      </c>
      <c r="U16" s="16"/>
      <c r="V16" s="16">
        <f t="shared" si="3"/>
        <v>1.8570755791806286</v>
      </c>
      <c r="W16" s="16">
        <f t="shared" ref="W16:AQ16" si="22">9.81/(2*PI())*$E$9^2*TANH(2*PI()*$H16/V16)</f>
        <v>6.241995262358194</v>
      </c>
      <c r="X16" s="16">
        <f t="shared" si="22"/>
        <v>5.2585729604591389</v>
      </c>
      <c r="Y16" s="16">
        <f t="shared" si="22"/>
        <v>5.6032752180684318</v>
      </c>
      <c r="Z16" s="16">
        <f t="shared" si="22"/>
        <v>5.4848444170583708</v>
      </c>
      <c r="AA16" s="16">
        <f t="shared" si="22"/>
        <v>5.5259540420993583</v>
      </c>
      <c r="AB16" s="16">
        <f t="shared" si="22"/>
        <v>5.5117280480427686</v>
      </c>
      <c r="AC16" s="16">
        <f t="shared" si="22"/>
        <v>5.5166564788498613</v>
      </c>
      <c r="AD16" s="16">
        <f t="shared" si="22"/>
        <v>5.514949732943986</v>
      </c>
      <c r="AE16" s="16">
        <f t="shared" si="22"/>
        <v>5.5155408681777018</v>
      </c>
      <c r="AF16" s="16">
        <f t="shared" si="22"/>
        <v>5.5153361365903573</v>
      </c>
      <c r="AG16" s="16">
        <f t="shared" si="22"/>
        <v>5.5154070436999074</v>
      </c>
      <c r="AH16" s="16">
        <f t="shared" si="22"/>
        <v>5.5153824857383897</v>
      </c>
      <c r="AI16" s="16">
        <f t="shared" si="22"/>
        <v>5.5153909911566803</v>
      </c>
      <c r="AJ16" s="16">
        <f t="shared" si="22"/>
        <v>5.5153880453872457</v>
      </c>
      <c r="AK16" s="16">
        <f t="shared" si="22"/>
        <v>5.5153890656262581</v>
      </c>
      <c r="AL16" s="16">
        <f t="shared" si="22"/>
        <v>5.5153887122762821</v>
      </c>
      <c r="AM16" s="16">
        <f t="shared" si="22"/>
        <v>5.5153888346556537</v>
      </c>
      <c r="AN16" s="16">
        <f t="shared" si="22"/>
        <v>5.5153887922707332</v>
      </c>
      <c r="AO16" s="16">
        <f t="shared" si="22"/>
        <v>5.5153888069503436</v>
      </c>
      <c r="AP16" s="16">
        <f t="shared" si="22"/>
        <v>5.5153888018662016</v>
      </c>
      <c r="AQ16" s="16">
        <f t="shared" si="22"/>
        <v>5.5153888036270455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0.67892922718664406</v>
      </c>
      <c r="J17" s="21">
        <f t="shared" si="2"/>
        <v>2.7398727572238646</v>
      </c>
      <c r="K17" s="16">
        <f t="shared" si="6"/>
        <v>1.2338434040603539</v>
      </c>
      <c r="L17" s="16">
        <f t="shared" si="7"/>
        <v>0.61692170203017693</v>
      </c>
      <c r="M17" s="16">
        <f t="shared" si="8"/>
        <v>1.0030410997367323</v>
      </c>
      <c r="N17" s="16">
        <f t="shared" si="15"/>
        <v>0.61879782245580528</v>
      </c>
      <c r="O17" s="16">
        <f t="shared" si="16"/>
        <v>0.61879782245580528</v>
      </c>
      <c r="P17" s="16">
        <f t="shared" si="9"/>
        <v>1.2301025395511711</v>
      </c>
      <c r="Q17" s="16">
        <f t="shared" si="10"/>
        <v>0.28016119772627263</v>
      </c>
      <c r="R17" s="16">
        <f t="shared" si="11"/>
        <v>0.88015236059777546</v>
      </c>
      <c r="S17" s="16">
        <f t="shared" si="12"/>
        <v>5.9114657038826313E-3</v>
      </c>
      <c r="T17" s="16">
        <f t="shared" si="13"/>
        <v>0.51999817013092886</v>
      </c>
      <c r="U17" s="16"/>
      <c r="V17" s="16">
        <f t="shared" si="3"/>
        <v>1.8140555627292949</v>
      </c>
      <c r="W17" s="16">
        <f t="shared" ref="W17:AQ17" si="23">9.81/(2*PI())*$E$9^2*TANH(2*PI()*$H17/V17)</f>
        <v>6.2419559688490045</v>
      </c>
      <c r="X17" s="16">
        <f t="shared" si="23"/>
        <v>5.2022896043257294</v>
      </c>
      <c r="Y17" s="16">
        <f t="shared" si="23"/>
        <v>5.577890918434365</v>
      </c>
      <c r="Z17" s="16">
        <f t="shared" si="23"/>
        <v>5.4445057577837765</v>
      </c>
      <c r="AA17" s="16">
        <f t="shared" si="23"/>
        <v>5.4923400581688631</v>
      </c>
      <c r="AB17" s="16">
        <f t="shared" si="23"/>
        <v>5.4752364199912673</v>
      </c>
      <c r="AC17" s="16">
        <f t="shared" si="23"/>
        <v>5.4813588682662084</v>
      </c>
      <c r="AD17" s="16">
        <f t="shared" si="23"/>
        <v>5.4791681274094284</v>
      </c>
      <c r="AE17" s="16">
        <f t="shared" si="23"/>
        <v>5.4799521317479396</v>
      </c>
      <c r="AF17" s="16">
        <f t="shared" si="23"/>
        <v>5.4796715729126948</v>
      </c>
      <c r="AG17" s="16">
        <f t="shared" si="23"/>
        <v>5.4797719737431967</v>
      </c>
      <c r="AH17" s="16">
        <f t="shared" si="23"/>
        <v>5.4797360445185905</v>
      </c>
      <c r="AI17" s="16">
        <f t="shared" si="23"/>
        <v>5.4797489021032328</v>
      </c>
      <c r="AJ17" s="16">
        <f t="shared" si="23"/>
        <v>5.479744300908874</v>
      </c>
      <c r="AK17" s="16">
        <f t="shared" si="23"/>
        <v>5.4797459474853056</v>
      </c>
      <c r="AL17" s="16">
        <f t="shared" si="23"/>
        <v>5.4797453582440241</v>
      </c>
      <c r="AM17" s="16">
        <f t="shared" si="23"/>
        <v>5.4797455691090011</v>
      </c>
      <c r="AN17" s="16">
        <f t="shared" si="23"/>
        <v>5.4797454936491858</v>
      </c>
      <c r="AO17" s="16">
        <f t="shared" si="23"/>
        <v>5.47974552065312</v>
      </c>
      <c r="AP17" s="16">
        <f t="shared" si="23"/>
        <v>5.4797455109895328</v>
      </c>
      <c r="AQ17" s="16">
        <f t="shared" si="23"/>
        <v>5.4797455144477292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0.64122271016986954</v>
      </c>
      <c r="J18" s="21">
        <f t="shared" si="2"/>
        <v>2.8499216855749259</v>
      </c>
      <c r="K18" s="16">
        <f t="shared" si="6"/>
        <v>1.1883202661578658</v>
      </c>
      <c r="L18" s="16">
        <f t="shared" si="7"/>
        <v>0.59416013307893289</v>
      </c>
      <c r="M18" s="16">
        <f t="shared" si="8"/>
        <v>1.0007122382914728</v>
      </c>
      <c r="N18" s="16">
        <f t="shared" si="15"/>
        <v>0.59458331667697828</v>
      </c>
      <c r="O18" s="16">
        <f t="shared" si="16"/>
        <v>0.59458331667697828</v>
      </c>
      <c r="P18" s="16">
        <f t="shared" si="9"/>
        <v>1.1874745013478583</v>
      </c>
      <c r="Q18" s="16">
        <f t="shared" si="10"/>
        <v>0.26069901738261264</v>
      </c>
      <c r="R18" s="16">
        <f t="shared" si="11"/>
        <v>0.8190101178072936</v>
      </c>
      <c r="S18" s="16">
        <f t="shared" si="12"/>
        <v>5.982611281228776E-3</v>
      </c>
      <c r="T18" s="16">
        <f t="shared" si="13"/>
        <v>0.42470236905498449</v>
      </c>
      <c r="U18" s="16"/>
      <c r="V18" s="16">
        <f t="shared" si="3"/>
        <v>2.1110323601021839</v>
      </c>
      <c r="W18" s="16">
        <f t="shared" ref="W18:AQ18" si="24">9.81/(2*PI())*$E$9^2*TANH(2*PI()*$H18/V18)</f>
        <v>6.24223975466042</v>
      </c>
      <c r="X18" s="16">
        <f t="shared" si="24"/>
        <v>5.5415298089174376</v>
      </c>
      <c r="Y18" s="16">
        <f t="shared" si="24"/>
        <v>5.7440291356460662</v>
      </c>
      <c r="Z18" s="16">
        <f t="shared" si="24"/>
        <v>5.6873242516810949</v>
      </c>
      <c r="AA18" s="16">
        <f t="shared" si="24"/>
        <v>5.7033761557805329</v>
      </c>
      <c r="AB18" s="16">
        <f t="shared" si="24"/>
        <v>5.6988452999012731</v>
      </c>
      <c r="AC18" s="16">
        <f t="shared" si="24"/>
        <v>5.7001252516255549</v>
      </c>
      <c r="AD18" s="16">
        <f t="shared" si="24"/>
        <v>5.6997637536846719</v>
      </c>
      <c r="AE18" s="16">
        <f t="shared" si="24"/>
        <v>5.699865858602517</v>
      </c>
      <c r="AF18" s="16">
        <f t="shared" si="24"/>
        <v>5.6998370196541606</v>
      </c>
      <c r="AG18" s="16">
        <f t="shared" si="24"/>
        <v>5.6998451650924702</v>
      </c>
      <c r="AH18" s="16">
        <f t="shared" si="24"/>
        <v>5.6998428644514751</v>
      </c>
      <c r="AI18" s="16">
        <f t="shared" si="24"/>
        <v>5.6998435142570472</v>
      </c>
      <c r="AJ18" s="16">
        <f t="shared" si="24"/>
        <v>5.6998433307224454</v>
      </c>
      <c r="AK18" s="16">
        <f t="shared" si="24"/>
        <v>5.6998433825609531</v>
      </c>
      <c r="AL18" s="16">
        <f t="shared" si="24"/>
        <v>5.6998433679194047</v>
      </c>
      <c r="AM18" s="16">
        <f t="shared" si="24"/>
        <v>5.6998433720548434</v>
      </c>
      <c r="AN18" s="16">
        <f t="shared" si="24"/>
        <v>5.699843370886807</v>
      </c>
      <c r="AO18" s="16">
        <f t="shared" si="24"/>
        <v>5.6998433712167129</v>
      </c>
      <c r="AP18" s="16">
        <f t="shared" si="24"/>
        <v>5.6998433711235323</v>
      </c>
      <c r="AQ18" s="16">
        <f t="shared" si="24"/>
        <v>5.6998433711498517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0.58018673947251198</v>
      </c>
      <c r="J19" s="21">
        <f t="shared" si="2"/>
        <v>2.9962032078027327</v>
      </c>
      <c r="K19" s="16">
        <f t="shared" si="6"/>
        <v>1.1091283128466758</v>
      </c>
      <c r="L19" s="16">
        <f t="shared" si="7"/>
        <v>0.5545641564233379</v>
      </c>
      <c r="M19" s="16">
        <f t="shared" si="8"/>
        <v>1.0002544662634485</v>
      </c>
      <c r="N19" s="16">
        <f t="shared" si="15"/>
        <v>0.5547052742920654</v>
      </c>
      <c r="O19" s="16">
        <f t="shared" si="16"/>
        <v>0.5547052742920654</v>
      </c>
      <c r="P19" s="16">
        <f t="shared" si="9"/>
        <v>1.1088461489104233</v>
      </c>
      <c r="Q19" s="16">
        <f t="shared" si="10"/>
        <v>0.21791217245036376</v>
      </c>
      <c r="R19" s="16">
        <f t="shared" si="11"/>
        <v>0.68459128009785486</v>
      </c>
      <c r="S19" s="16">
        <f t="shared" si="12"/>
        <v>6.1680677287851478E-3</v>
      </c>
      <c r="T19" s="16">
        <f t="shared" si="13"/>
        <v>0.29984068880652182</v>
      </c>
      <c r="U19" s="16"/>
      <c r="V19" s="16">
        <f t="shared" si="3"/>
        <v>2.7111500411764866</v>
      </c>
      <c r="W19" s="16">
        <f t="shared" ref="W19:AQ19" si="25">9.81/(2*PI())*$E$9^2*TANH(2*PI()*$H19/V19)</f>
        <v>6.2428823449155937</v>
      </c>
      <c r="X19" s="16">
        <f t="shared" si="25"/>
        <v>5.9508273416409763</v>
      </c>
      <c r="Y19" s="16">
        <f t="shared" si="25"/>
        <v>5.9990345845336304</v>
      </c>
      <c r="Z19" s="16">
        <f t="shared" si="25"/>
        <v>5.9913424211509128</v>
      </c>
      <c r="AA19" s="16">
        <f t="shared" si="25"/>
        <v>5.9925770260013378</v>
      </c>
      <c r="AB19" s="16">
        <f t="shared" si="25"/>
        <v>5.992379053551832</v>
      </c>
      <c r="AC19" s="16">
        <f t="shared" si="25"/>
        <v>5.9924108037359396</v>
      </c>
      <c r="AD19" s="16">
        <f t="shared" si="25"/>
        <v>5.9924057118652714</v>
      </c>
      <c r="AE19" s="16">
        <f t="shared" si="25"/>
        <v>5.9924065284667156</v>
      </c>
      <c r="AF19" s="16">
        <f t="shared" si="25"/>
        <v>5.992406397505512</v>
      </c>
      <c r="AG19" s="16">
        <f t="shared" si="25"/>
        <v>5.9924064185082164</v>
      </c>
      <c r="AH19" s="16">
        <f t="shared" si="25"/>
        <v>5.9924064151399392</v>
      </c>
      <c r="AI19" s="16">
        <f t="shared" si="25"/>
        <v>5.9924064156801231</v>
      </c>
      <c r="AJ19" s="16">
        <f t="shared" si="25"/>
        <v>5.9924064155934902</v>
      </c>
      <c r="AK19" s="16">
        <f t="shared" si="25"/>
        <v>5.9924064156073857</v>
      </c>
      <c r="AL19" s="16">
        <f t="shared" si="25"/>
        <v>5.9924064156051564</v>
      </c>
      <c r="AM19" s="16">
        <f t="shared" si="25"/>
        <v>5.9924064156055143</v>
      </c>
      <c r="AN19" s="16">
        <f t="shared" si="25"/>
        <v>5.9924064156054566</v>
      </c>
      <c r="AO19" s="16">
        <f t="shared" si="25"/>
        <v>5.9924064156054655</v>
      </c>
      <c r="AP19" s="16">
        <f t="shared" si="25"/>
        <v>5.9924064156054637</v>
      </c>
      <c r="AQ19" s="16">
        <f t="shared" si="25"/>
        <v>5.9924064156054655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0.57292844858364245</v>
      </c>
      <c r="J20" s="21">
        <f t="shared" si="2"/>
        <v>3.011010296307127</v>
      </c>
      <c r="K20" s="16">
        <f t="shared" si="6"/>
        <v>1.0991574702895943</v>
      </c>
      <c r="L20" s="16">
        <f t="shared" si="7"/>
        <v>0.54957873514479716</v>
      </c>
      <c r="M20" s="16">
        <f t="shared" si="8"/>
        <v>1.0004719893313379</v>
      </c>
      <c r="N20" s="16">
        <f t="shared" si="15"/>
        <v>0.54983813044451568</v>
      </c>
      <c r="O20" s="16">
        <f t="shared" si="16"/>
        <v>0.54983813044451568</v>
      </c>
      <c r="P20" s="16">
        <f t="shared" si="9"/>
        <v>1.0986389244382671</v>
      </c>
      <c r="Q20" s="16">
        <f t="shared" si="10"/>
        <v>0.1995567012508139</v>
      </c>
      <c r="R20" s="16">
        <f t="shared" si="11"/>
        <v>0.62692586662417005</v>
      </c>
      <c r="S20" s="16">
        <f t="shared" si="12"/>
        <v>6.2636619386116235E-3</v>
      </c>
      <c r="T20" s="16">
        <f t="shared" si="13"/>
        <v>0.28637402627318526</v>
      </c>
      <c r="U20" s="16"/>
      <c r="V20" s="16">
        <f t="shared" si="3"/>
        <v>2.7996311679194807</v>
      </c>
      <c r="W20" s="16">
        <f t="shared" ref="W20:AQ20" si="26">9.81/(2*PI())*$E$9^2*TANH(2*PI()*$H20/V20)</f>
        <v>6.2429819969610234</v>
      </c>
      <c r="X20" s="16">
        <f t="shared" si="26"/>
        <v>5.9887110098021505</v>
      </c>
      <c r="Y20" s="16">
        <f t="shared" si="26"/>
        <v>6.0268539184251404</v>
      </c>
      <c r="Z20" s="16">
        <f t="shared" si="26"/>
        <v>6.0213150917685434</v>
      </c>
      <c r="AA20" s="16">
        <f t="shared" si="26"/>
        <v>6.0221234835463386</v>
      </c>
      <c r="AB20" s="16">
        <f t="shared" si="26"/>
        <v>6.0220055850232654</v>
      </c>
      <c r="AC20" s="16">
        <f t="shared" si="26"/>
        <v>6.0220227815698273</v>
      </c>
      <c r="AD20" s="16">
        <f t="shared" si="26"/>
        <v>6.0220202733398764</v>
      </c>
      <c r="AE20" s="16">
        <f t="shared" si="26"/>
        <v>6.0220206391826219</v>
      </c>
      <c r="AF20" s="16">
        <f t="shared" si="26"/>
        <v>6.0220205858219353</v>
      </c>
      <c r="AG20" s="16">
        <f t="shared" si="26"/>
        <v>6.0220205936049593</v>
      </c>
      <c r="AH20" s="16">
        <f t="shared" si="26"/>
        <v>6.0220205924697519</v>
      </c>
      <c r="AI20" s="16">
        <f t="shared" si="26"/>
        <v>6.0220205926353296</v>
      </c>
      <c r="AJ20" s="16">
        <f t="shared" si="26"/>
        <v>6.0220205926111801</v>
      </c>
      <c r="AK20" s="16">
        <f t="shared" si="26"/>
        <v>6.0220205926147026</v>
      </c>
      <c r="AL20" s="16">
        <f t="shared" si="26"/>
        <v>6.0220205926141883</v>
      </c>
      <c r="AM20" s="16">
        <f t="shared" si="26"/>
        <v>6.0220205926142638</v>
      </c>
      <c r="AN20" s="16">
        <f t="shared" si="26"/>
        <v>6.0220205926142514</v>
      </c>
      <c r="AO20" s="16">
        <f t="shared" si="26"/>
        <v>6.022020592614254</v>
      </c>
      <c r="AP20" s="16">
        <f t="shared" si="26"/>
        <v>6.0220205926142523</v>
      </c>
      <c r="AQ20" s="16">
        <f t="shared" si="26"/>
        <v>6.022020592614254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0.58917736344107896</v>
      </c>
      <c r="J21" s="21">
        <f t="shared" si="2"/>
        <v>2.9770891011019391</v>
      </c>
      <c r="K21" s="16">
        <f t="shared" si="6"/>
        <v>1.1222686737085734</v>
      </c>
      <c r="L21" s="16">
        <f t="shared" si="7"/>
        <v>0.56113433685428671</v>
      </c>
      <c r="M21" s="16">
        <f t="shared" si="8"/>
        <v>1.0002077336919586</v>
      </c>
      <c r="N21" s="16">
        <f t="shared" si="15"/>
        <v>0.5612509033617662</v>
      </c>
      <c r="O21" s="16">
        <f t="shared" si="16"/>
        <v>0.5612509033617662</v>
      </c>
      <c r="P21" s="16">
        <f t="shared" si="9"/>
        <v>1.1220355891131379</v>
      </c>
      <c r="Q21" s="16">
        <f t="shared" si="10"/>
        <v>0.20601690400775519</v>
      </c>
      <c r="R21" s="16">
        <f t="shared" si="11"/>
        <v>0.64722119214607732</v>
      </c>
      <c r="S21" s="16">
        <f t="shared" si="12"/>
        <v>6.2286903284241501E-3</v>
      </c>
      <c r="T21" s="16">
        <f t="shared" si="13"/>
        <v>0.31709090585410521</v>
      </c>
      <c r="U21" s="16"/>
      <c r="V21" s="16">
        <f t="shared" si="3"/>
        <v>2.6083627052816252</v>
      </c>
      <c r="W21" s="16">
        <f t="shared" ref="W21:AQ21" si="27">9.81/(2*PI())*$E$9^2*TANH(2*PI()*$H21/V21)</f>
        <v>6.2427676561120053</v>
      </c>
      <c r="X21" s="16">
        <f t="shared" si="27"/>
        <v>5.9008269369114581</v>
      </c>
      <c r="Y21" s="16">
        <f t="shared" si="27"/>
        <v>5.9636266629069068</v>
      </c>
      <c r="Z21" s="16">
        <f t="shared" si="27"/>
        <v>5.9524909390748633</v>
      </c>
      <c r="AA21" s="16">
        <f t="shared" si="27"/>
        <v>5.9544790669652121</v>
      </c>
      <c r="AB21" s="16">
        <f t="shared" si="27"/>
        <v>5.9541245394346252</v>
      </c>
      <c r="AC21" s="16">
        <f t="shared" si="27"/>
        <v>5.9541877731450841</v>
      </c>
      <c r="AD21" s="16">
        <f t="shared" si="27"/>
        <v>5.9541764951791327</v>
      </c>
      <c r="AE21" s="16">
        <f t="shared" si="27"/>
        <v>5.9541785066597424</v>
      </c>
      <c r="AF21" s="16">
        <f t="shared" si="27"/>
        <v>5.9541781479027351</v>
      </c>
      <c r="AG21" s="16">
        <f t="shared" si="27"/>
        <v>5.9541782118887454</v>
      </c>
      <c r="AH21" s="16">
        <f t="shared" si="27"/>
        <v>5.9541782004765365</v>
      </c>
      <c r="AI21" s="16">
        <f t="shared" si="27"/>
        <v>5.954178202511959</v>
      </c>
      <c r="AJ21" s="16">
        <f t="shared" si="27"/>
        <v>5.9541782021489311</v>
      </c>
      <c r="AK21" s="16">
        <f t="shared" si="27"/>
        <v>5.9541782022136793</v>
      </c>
      <c r="AL21" s="16">
        <f t="shared" si="27"/>
        <v>5.9541782022021321</v>
      </c>
      <c r="AM21" s="16">
        <f t="shared" si="27"/>
        <v>5.9541782022041909</v>
      </c>
      <c r="AN21" s="16">
        <f t="shared" si="27"/>
        <v>5.9541782022038232</v>
      </c>
      <c r="AO21" s="16">
        <f t="shared" si="27"/>
        <v>5.954178202203888</v>
      </c>
      <c r="AP21" s="16">
        <f t="shared" si="27"/>
        <v>5.9541782022038774</v>
      </c>
      <c r="AQ21" s="16">
        <f t="shared" si="27"/>
        <v>5.9541782022038783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0.62208227849480147</v>
      </c>
      <c r="J22" s="21">
        <f t="shared" si="2"/>
        <v>2.8999616081081028</v>
      </c>
      <c r="K22" s="16">
        <f t="shared" si="6"/>
        <v>1.1656729059837501</v>
      </c>
      <c r="L22" s="16">
        <f t="shared" si="7"/>
        <v>0.58283645299187503</v>
      </c>
      <c r="M22" s="16">
        <f t="shared" si="8"/>
        <v>1.000652808282632</v>
      </c>
      <c r="N22" s="16">
        <f t="shared" si="15"/>
        <v>0.58321693345580805</v>
      </c>
      <c r="O22" s="16">
        <f t="shared" si="16"/>
        <v>0.58321693345580805</v>
      </c>
      <c r="P22" s="16">
        <f t="shared" si="9"/>
        <v>1.164912441493402</v>
      </c>
      <c r="Q22" s="16">
        <f t="shared" si="10"/>
        <v>0.22677979696946238</v>
      </c>
      <c r="R22" s="16">
        <f t="shared" si="11"/>
        <v>0.71244974414184781</v>
      </c>
      <c r="S22" s="16">
        <f t="shared" si="12"/>
        <v>6.1257464895336225E-3</v>
      </c>
      <c r="T22" s="16">
        <f t="shared" si="13"/>
        <v>0.38319115207346133</v>
      </c>
      <c r="U22" s="16"/>
      <c r="V22" s="16">
        <f t="shared" si="3"/>
        <v>2.2788519680358492</v>
      </c>
      <c r="W22" s="16">
        <f t="shared" ref="W22:AQ22" si="28">9.81/(2*PI())*$E$9^2*TANH(2*PI()*$H22/V22)</f>
        <v>6.242411694584165</v>
      </c>
      <c r="X22" s="16">
        <f t="shared" si="28"/>
        <v>5.6878910798770459</v>
      </c>
      <c r="Y22" s="16">
        <f t="shared" si="28"/>
        <v>5.8269904076461687</v>
      </c>
      <c r="Z22" s="16">
        <f t="shared" si="28"/>
        <v>5.7932980722648173</v>
      </c>
      <c r="AA22" s="16">
        <f t="shared" si="28"/>
        <v>5.8015398586063336</v>
      </c>
      <c r="AB22" s="16">
        <f t="shared" si="28"/>
        <v>5.7995284310119342</v>
      </c>
      <c r="AC22" s="16">
        <f t="shared" si="28"/>
        <v>5.8000196052845023</v>
      </c>
      <c r="AD22" s="16">
        <f t="shared" si="28"/>
        <v>5.7998996812139465</v>
      </c>
      <c r="AE22" s="16">
        <f t="shared" si="28"/>
        <v>5.7999289626168986</v>
      </c>
      <c r="AF22" s="16">
        <f t="shared" si="28"/>
        <v>5.7999218131477681</v>
      </c>
      <c r="AG22" s="16">
        <f t="shared" si="28"/>
        <v>5.7999235587954256</v>
      </c>
      <c r="AH22" s="16">
        <f t="shared" si="28"/>
        <v>5.7999231325701786</v>
      </c>
      <c r="AI22" s="16">
        <f t="shared" si="28"/>
        <v>5.7999232366392812</v>
      </c>
      <c r="AJ22" s="16">
        <f t="shared" si="28"/>
        <v>5.7999232112292951</v>
      </c>
      <c r="AK22" s="16">
        <f t="shared" si="28"/>
        <v>5.7999232174335118</v>
      </c>
      <c r="AL22" s="16">
        <f t="shared" si="28"/>
        <v>5.7999232159186631</v>
      </c>
      <c r="AM22" s="16">
        <f t="shared" si="28"/>
        <v>5.7999232162885352</v>
      </c>
      <c r="AN22" s="16">
        <f t="shared" si="28"/>
        <v>5.7999232161982253</v>
      </c>
      <c r="AO22" s="16">
        <f t="shared" si="28"/>
        <v>5.7999232162202761</v>
      </c>
      <c r="AP22" s="16">
        <f t="shared" si="28"/>
        <v>5.7999232162148928</v>
      </c>
      <c r="AQ22" s="16">
        <f t="shared" si="28"/>
        <v>5.7999232162162055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0.67892922718664406</v>
      </c>
      <c r="J23" s="21">
        <f t="shared" si="2"/>
        <v>2.7398727572238646</v>
      </c>
      <c r="K23" s="16">
        <f t="shared" si="6"/>
        <v>1.2404436592556982</v>
      </c>
      <c r="L23" s="16">
        <f t="shared" si="7"/>
        <v>0.62022182962784911</v>
      </c>
      <c r="M23" s="16">
        <f t="shared" si="8"/>
        <v>1.0017226574851721</v>
      </c>
      <c r="N23" s="16">
        <f t="shared" si="15"/>
        <v>0.62129025940512461</v>
      </c>
      <c r="O23" s="16">
        <f t="shared" si="16"/>
        <v>0.62129025940512461</v>
      </c>
      <c r="P23" s="16">
        <f t="shared" si="9"/>
        <v>1.2383104744479234</v>
      </c>
      <c r="Q23" s="16">
        <f t="shared" si="10"/>
        <v>0.26650863178234335</v>
      </c>
      <c r="R23" s="16">
        <f t="shared" si="11"/>
        <v>0.83726155972567706</v>
      </c>
      <c r="S23" s="16">
        <f t="shared" si="12"/>
        <v>5.9606354338462945E-3</v>
      </c>
      <c r="T23" s="16">
        <f t="shared" si="13"/>
        <v>0.52209265496228963</v>
      </c>
      <c r="U23" s="16"/>
      <c r="V23" s="16">
        <f t="shared" si="3"/>
        <v>1.8140555627292949</v>
      </c>
      <c r="W23" s="16">
        <f t="shared" ref="W23:AQ23" si="29">9.81/(2*PI())*$E$9^2*TANH(2*PI()*$H23/V23)</f>
        <v>6.2419559688490045</v>
      </c>
      <c r="X23" s="16">
        <f t="shared" si="29"/>
        <v>5.2022896043257294</v>
      </c>
      <c r="Y23" s="16">
        <f t="shared" si="29"/>
        <v>5.577890918434365</v>
      </c>
      <c r="Z23" s="16">
        <f t="shared" si="29"/>
        <v>5.4445057577837765</v>
      </c>
      <c r="AA23" s="16">
        <f t="shared" si="29"/>
        <v>5.4923400581688631</v>
      </c>
      <c r="AB23" s="16">
        <f t="shared" si="29"/>
        <v>5.4752364199912673</v>
      </c>
      <c r="AC23" s="16">
        <f t="shared" si="29"/>
        <v>5.4813588682662084</v>
      </c>
      <c r="AD23" s="16">
        <f t="shared" si="29"/>
        <v>5.4791681274094284</v>
      </c>
      <c r="AE23" s="16">
        <f t="shared" si="29"/>
        <v>5.4799521317479396</v>
      </c>
      <c r="AF23" s="16">
        <f t="shared" si="29"/>
        <v>5.4796715729126948</v>
      </c>
      <c r="AG23" s="16">
        <f t="shared" si="29"/>
        <v>5.4797719737431967</v>
      </c>
      <c r="AH23" s="16">
        <f t="shared" si="29"/>
        <v>5.4797360445185905</v>
      </c>
      <c r="AI23" s="16">
        <f t="shared" si="29"/>
        <v>5.4797489021032328</v>
      </c>
      <c r="AJ23" s="16">
        <f t="shared" si="29"/>
        <v>5.479744300908874</v>
      </c>
      <c r="AK23" s="16">
        <f t="shared" si="29"/>
        <v>5.4797459474853056</v>
      </c>
      <c r="AL23" s="16">
        <f t="shared" si="29"/>
        <v>5.4797453582440241</v>
      </c>
      <c r="AM23" s="16">
        <f t="shared" si="29"/>
        <v>5.4797455691090011</v>
      </c>
      <c r="AN23" s="16">
        <f t="shared" si="29"/>
        <v>5.4797454936491858</v>
      </c>
      <c r="AO23" s="16">
        <f t="shared" si="29"/>
        <v>5.47974552065312</v>
      </c>
      <c r="AP23" s="16">
        <f t="shared" si="29"/>
        <v>5.4797455109895328</v>
      </c>
      <c r="AQ23" s="16">
        <f t="shared" si="29"/>
        <v>5.4797455144477292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0.743313061341356</v>
      </c>
      <c r="J24" s="21">
        <f t="shared" si="2"/>
        <v>2.5134500875666212</v>
      </c>
      <c r="K24" s="16">
        <f t="shared" si="6"/>
        <v>1.3361763455890543</v>
      </c>
      <c r="L24" s="16">
        <f t="shared" si="7"/>
        <v>0.66808817279452715</v>
      </c>
      <c r="M24" s="16">
        <f t="shared" si="8"/>
        <v>1.0051916030753434</v>
      </c>
      <c r="N24" s="16">
        <f t="shared" si="15"/>
        <v>0.67155662140700778</v>
      </c>
      <c r="O24" s="16">
        <f t="shared" si="16"/>
        <v>0.58740000000000003</v>
      </c>
      <c r="P24" s="16">
        <f t="shared" si="9"/>
        <v>1.3292752759783073</v>
      </c>
      <c r="Q24" s="16">
        <f t="shared" si="10"/>
        <v>0.3282873715866399</v>
      </c>
      <c r="R24" s="16">
        <f t="shared" si="11"/>
        <v>1.0313451948428904</v>
      </c>
      <c r="S24" s="16">
        <f t="shared" si="12"/>
        <v>5.7611546790014775E-3</v>
      </c>
      <c r="T24" s="16">
        <f t="shared" si="13"/>
        <v>0.66</v>
      </c>
      <c r="U24" s="16"/>
      <c r="V24" s="16">
        <f t="shared" si="3"/>
        <v>1.3741030772093568</v>
      </c>
      <c r="W24" s="16">
        <f t="shared" ref="W24:AQ24" si="30">9.81/(2*PI())*$E$9^2*TANH(2*PI()*$H24/V24)</f>
        <v>6.2415953474380856</v>
      </c>
      <c r="X24" s="16">
        <f t="shared" si="30"/>
        <v>4.4610406195348116</v>
      </c>
      <c r="Y24" s="16">
        <f t="shared" si="30"/>
        <v>5.3038931515408123</v>
      </c>
      <c r="Z24" s="16">
        <f t="shared" si="30"/>
        <v>4.8930375672743205</v>
      </c>
      <c r="AA24" s="16">
        <f t="shared" si="30"/>
        <v>5.0922025067944441</v>
      </c>
      <c r="AB24" s="16">
        <f t="shared" si="30"/>
        <v>4.9951666978490881</v>
      </c>
      <c r="AC24" s="16">
        <f t="shared" si="30"/>
        <v>5.0423514991721605</v>
      </c>
      <c r="AD24" s="16">
        <f t="shared" si="30"/>
        <v>5.0193826453484709</v>
      </c>
      <c r="AE24" s="16">
        <f t="shared" si="30"/>
        <v>5.0305580107009549</v>
      </c>
      <c r="AF24" s="16">
        <f t="shared" si="30"/>
        <v>5.0251193539690524</v>
      </c>
      <c r="AG24" s="16">
        <f t="shared" si="30"/>
        <v>5.0277658421196918</v>
      </c>
      <c r="AH24" s="16">
        <f t="shared" si="30"/>
        <v>5.0264779676243627</v>
      </c>
      <c r="AI24" s="16">
        <f t="shared" si="30"/>
        <v>5.0271046750887614</v>
      </c>
      <c r="AJ24" s="16">
        <f t="shared" si="30"/>
        <v>5.0267997015426866</v>
      </c>
      <c r="AK24" s="16">
        <f t="shared" si="30"/>
        <v>5.0269481092873276</v>
      </c>
      <c r="AL24" s="16">
        <f t="shared" si="30"/>
        <v>5.0268758901368154</v>
      </c>
      <c r="AM24" s="16">
        <f t="shared" si="30"/>
        <v>5.0269110338380134</v>
      </c>
      <c r="AN24" s="16">
        <f t="shared" si="30"/>
        <v>5.0268939319934489</v>
      </c>
      <c r="AO24" s="16">
        <f t="shared" si="30"/>
        <v>5.026902254195373</v>
      </c>
      <c r="AP24" s="16">
        <f t="shared" si="30"/>
        <v>5.0268982043949393</v>
      </c>
      <c r="AQ24" s="16">
        <f t="shared" si="30"/>
        <v>5.0269001751332425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0.79552475769803133</v>
      </c>
      <c r="J25" s="21">
        <f t="shared" si="2"/>
        <v>2.2872187017570327</v>
      </c>
      <c r="K25" s="16">
        <f t="shared" si="6"/>
        <v>1.436590217148713</v>
      </c>
      <c r="L25" s="16">
        <f t="shared" si="7"/>
        <v>0.71829510857435652</v>
      </c>
      <c r="M25" s="16">
        <f t="shared" si="8"/>
        <v>1.009816506407349</v>
      </c>
      <c r="N25" s="16">
        <f t="shared" si="15"/>
        <v>0.72534625711004408</v>
      </c>
      <c r="O25" s="16">
        <f t="shared" si="16"/>
        <v>0.44880000000000003</v>
      </c>
      <c r="P25" s="16">
        <f t="shared" si="9"/>
        <v>1.4226250096264599</v>
      </c>
      <c r="Q25" s="16">
        <f t="shared" si="10"/>
        <v>0.35508646725510079</v>
      </c>
      <c r="R25" s="16">
        <f t="shared" si="11"/>
        <v>1.1155370369177773</v>
      </c>
      <c r="S25" s="16">
        <f t="shared" si="12"/>
        <v>5.6898276370825644E-3</v>
      </c>
      <c r="T25" s="16">
        <f t="shared" si="13"/>
        <v>0.66</v>
      </c>
      <c r="U25" s="16"/>
      <c r="V25" s="16">
        <f t="shared" si="3"/>
        <v>1.0570565820645579</v>
      </c>
      <c r="W25" s="16">
        <f t="shared" ref="W25:AQ25" si="31">9.81/(2*PI())*$E$9^2*TANH(2*PI()*$H25/V25)</f>
        <v>6.24138824277835</v>
      </c>
      <c r="X25" s="16">
        <f t="shared" si="31"/>
        <v>3.7126194580866048</v>
      </c>
      <c r="Y25" s="16">
        <f t="shared" si="31"/>
        <v>5.1087709884725134</v>
      </c>
      <c r="Z25" s="16">
        <f t="shared" si="31"/>
        <v>4.2708375075390652</v>
      </c>
      <c r="AA25" s="16">
        <f t="shared" si="31"/>
        <v>4.7573994551281924</v>
      </c>
      <c r="AB25" s="16">
        <f t="shared" si="31"/>
        <v>4.4676315860938871</v>
      </c>
      <c r="AC25" s="16">
        <f t="shared" si="31"/>
        <v>4.63795866180351</v>
      </c>
      <c r="AD25" s="16">
        <f t="shared" si="31"/>
        <v>4.5369957161609653</v>
      </c>
      <c r="AE25" s="16">
        <f t="shared" si="31"/>
        <v>4.5965598898600941</v>
      </c>
      <c r="AF25" s="16">
        <f t="shared" si="31"/>
        <v>4.5613181119986042</v>
      </c>
      <c r="AG25" s="16">
        <f t="shared" si="31"/>
        <v>4.5821344366530736</v>
      </c>
      <c r="AH25" s="16">
        <f t="shared" si="31"/>
        <v>4.5698265383274546</v>
      </c>
      <c r="AI25" s="16">
        <f t="shared" si="31"/>
        <v>4.5770994606221134</v>
      </c>
      <c r="AJ25" s="16">
        <f t="shared" si="31"/>
        <v>4.5728002857524555</v>
      </c>
      <c r="AK25" s="16">
        <f t="shared" si="31"/>
        <v>4.5753410954489961</v>
      </c>
      <c r="AL25" s="16">
        <f t="shared" si="31"/>
        <v>4.5738392960994769</v>
      </c>
      <c r="AM25" s="16">
        <f t="shared" si="31"/>
        <v>4.5747269027189494</v>
      </c>
      <c r="AN25" s="16">
        <f t="shared" si="31"/>
        <v>4.5742022794206152</v>
      </c>
      <c r="AO25" s="16">
        <f t="shared" si="31"/>
        <v>4.5745123522627056</v>
      </c>
      <c r="AP25" s="16">
        <f t="shared" si="31"/>
        <v>4.5743290843976316</v>
      </c>
      <c r="AQ25" s="16">
        <f t="shared" si="31"/>
        <v>4.5744374035140654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0.80344362448606854</v>
      </c>
      <c r="J26" s="21">
        <f t="shared" si="2"/>
        <v>2.2488996710847076</v>
      </c>
      <c r="K26" s="16">
        <f t="shared" si="6"/>
        <v>1.4671491253313576</v>
      </c>
      <c r="L26" s="16">
        <f t="shared" si="7"/>
        <v>0.73357456266567878</v>
      </c>
      <c r="M26" s="16">
        <f t="shared" si="8"/>
        <v>1.0045599367212765</v>
      </c>
      <c r="N26" s="16">
        <f t="shared" si="15"/>
        <v>0.73691961625177238</v>
      </c>
      <c r="O26" s="16">
        <f t="shared" si="16"/>
        <v>0.42900000000000005</v>
      </c>
      <c r="P26" s="16">
        <f t="shared" si="9"/>
        <v>1.4604893861484247</v>
      </c>
      <c r="Q26" s="16">
        <f t="shared" si="10"/>
        <v>0.27749221608085756</v>
      </c>
      <c r="R26" s="16">
        <f t="shared" si="11"/>
        <v>0.87176750746797349</v>
      </c>
      <c r="S26" s="16">
        <f t="shared" si="12"/>
        <v>5.9208183500369443E-3</v>
      </c>
      <c r="T26" s="16">
        <f t="shared" si="13"/>
        <v>0.66</v>
      </c>
      <c r="U26" s="16"/>
      <c r="V26" s="16">
        <f t="shared" si="3"/>
        <v>1.0112599945728313</v>
      </c>
      <c r="W26" s="16">
        <f t="shared" ref="W26:AQ26" si="32">9.81/(2*PI())*$E$9^2*TANH(2*PI()*$H26/V26)</f>
        <v>6.2413623538790146</v>
      </c>
      <c r="X26" s="16">
        <f t="shared" si="32"/>
        <v>3.5884826012370228</v>
      </c>
      <c r="Y26" s="16">
        <f t="shared" si="32"/>
        <v>5.0822204579106689</v>
      </c>
      <c r="Z26" s="16">
        <f t="shared" si="32"/>
        <v>4.1596068029585442</v>
      </c>
      <c r="AA26" s="16">
        <f t="shared" si="32"/>
        <v>4.7080462266704366</v>
      </c>
      <c r="AB26" s="16">
        <f t="shared" si="32"/>
        <v>4.3721952422294086</v>
      </c>
      <c r="AC26" s="16">
        <f t="shared" si="32"/>
        <v>4.5746384926991128</v>
      </c>
      <c r="AD26" s="16">
        <f t="shared" si="32"/>
        <v>4.4513323476638718</v>
      </c>
      <c r="AE26" s="16">
        <f t="shared" si="32"/>
        <v>4.5259860271658496</v>
      </c>
      <c r="AF26" s="16">
        <f t="shared" si="32"/>
        <v>4.4806176610053141</v>
      </c>
      <c r="AG26" s="16">
        <f t="shared" si="32"/>
        <v>4.5081270117693943</v>
      </c>
      <c r="AH26" s="16">
        <f t="shared" si="32"/>
        <v>4.4914235825214401</v>
      </c>
      <c r="AI26" s="16">
        <f t="shared" si="32"/>
        <v>4.501557337112577</v>
      </c>
      <c r="AJ26" s="16">
        <f t="shared" si="32"/>
        <v>4.4954062081908477</v>
      </c>
      <c r="AK26" s="16">
        <f t="shared" si="32"/>
        <v>4.499138763647637</v>
      </c>
      <c r="AL26" s="16">
        <f t="shared" si="32"/>
        <v>4.4968733967591064</v>
      </c>
      <c r="AM26" s="16">
        <f t="shared" si="32"/>
        <v>4.4982481406936801</v>
      </c>
      <c r="AN26" s="16">
        <f t="shared" si="32"/>
        <v>4.4974138164970983</v>
      </c>
      <c r="AO26" s="16">
        <f t="shared" si="32"/>
        <v>4.4979201420075245</v>
      </c>
      <c r="AP26" s="16">
        <f t="shared" si="32"/>
        <v>4.497612860984721</v>
      </c>
      <c r="AQ26" s="16">
        <f t="shared" si="32"/>
        <v>4.4977993421694151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0.82510988054599277</v>
      </c>
      <c r="J27" s="22" t="e">
        <f>IF(B27&gt;=0," ",K27/K$9)</f>
        <v>#DIV/0!</v>
      </c>
      <c r="K27" s="22">
        <f>IF(B27&gt;=0," ",L27/L$9)</f>
        <v>1.5230344895831363</v>
      </c>
      <c r="L27" s="16">
        <f t="shared" si="7"/>
        <v>0.76151724479156813</v>
      </c>
      <c r="M27" s="16">
        <f t="shared" si="8"/>
        <v>1.0117753944761807</v>
      </c>
      <c r="N27" s="16">
        <f t="shared" si="15"/>
        <v>0.7704844107494031</v>
      </c>
      <c r="O27" s="16">
        <f t="shared" si="16"/>
        <v>0.37619999999999998</v>
      </c>
      <c r="P27" s="16">
        <f t="shared" si="9"/>
        <v>1.5053088836694295</v>
      </c>
      <c r="Q27" s="16">
        <f t="shared" si="10"/>
        <v>0.2832529878715751</v>
      </c>
      <c r="R27" s="16">
        <f t="shared" si="11"/>
        <v>0.88986550580469903</v>
      </c>
      <c r="S27" s="16">
        <f t="shared" si="12"/>
        <v>5.9007817885280457E-3</v>
      </c>
      <c r="T27" s="16">
        <f t="shared" si="13"/>
        <v>0.66</v>
      </c>
      <c r="U27" s="16"/>
      <c r="V27" s="16">
        <f t="shared" si="3"/>
        <v>0.88860153717599688</v>
      </c>
      <c r="W27" s="16">
        <f t="shared" ref="W27:AQ27" si="33">9.81/(2*PI())*$E$9^2*TANH(2*PI()*$H27/V27)</f>
        <v>6.2412982538218325</v>
      </c>
      <c r="X27" s="16">
        <f t="shared" si="33"/>
        <v>3.2360531973326641</v>
      </c>
      <c r="Y27" s="16">
        <f t="shared" si="33"/>
        <v>5.0143099928446366</v>
      </c>
      <c r="Z27" s="16">
        <f t="shared" si="33"/>
        <v>3.8303811839604993</v>
      </c>
      <c r="AA27" s="16">
        <f t="shared" si="33"/>
        <v>4.5772467174902953</v>
      </c>
      <c r="AB27" s="16">
        <f t="shared" si="33"/>
        <v>4.0850383836997972</v>
      </c>
      <c r="AC27" s="16">
        <f t="shared" si="33"/>
        <v>4.4014574840584908</v>
      </c>
      <c r="AD27" s="16">
        <f t="shared" si="33"/>
        <v>4.1944282546949143</v>
      </c>
      <c r="AE27" s="16">
        <f t="shared" si="33"/>
        <v>4.3284248758487616</v>
      </c>
      <c r="AF27" s="16">
        <f t="shared" si="33"/>
        <v>4.2410614596511511</v>
      </c>
      <c r="AG27" s="16">
        <f t="shared" si="33"/>
        <v>4.2977571449723655</v>
      </c>
      <c r="AH27" s="16">
        <f t="shared" si="33"/>
        <v>4.2608508024580614</v>
      </c>
      <c r="AI27" s="16">
        <f t="shared" si="33"/>
        <v>4.2848278357738332</v>
      </c>
      <c r="AJ27" s="16">
        <f t="shared" si="33"/>
        <v>4.2692304998611972</v>
      </c>
      <c r="AK27" s="16">
        <f t="shared" si="33"/>
        <v>4.2793682709732055</v>
      </c>
      <c r="AL27" s="16">
        <f t="shared" si="33"/>
        <v>4.2727754520022456</v>
      </c>
      <c r="AM27" s="16">
        <f t="shared" si="33"/>
        <v>4.2770613936288404</v>
      </c>
      <c r="AN27" s="16">
        <f t="shared" si="33"/>
        <v>4.274274494076292</v>
      </c>
      <c r="AO27" s="16">
        <f t="shared" si="33"/>
        <v>4.2760863824340349</v>
      </c>
      <c r="AP27" s="16">
        <f t="shared" si="33"/>
        <v>4.2749082779739016</v>
      </c>
      <c r="AQ27" s="16">
        <f t="shared" si="33"/>
        <v>4.2756742425873489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0.83065135209513119</v>
      </c>
      <c r="J28" s="22" t="e">
        <f t="shared" ref="J28:J91" si="34">IF(B28&gt;=0," ",K28/K$9)</f>
        <v>#DIV/0!</v>
      </c>
      <c r="K28" s="22">
        <f t="shared" ref="K28:K91" si="35">IF(B28&gt;=0," ",L28/L$9)</f>
        <v>1.5547905532908495</v>
      </c>
      <c r="L28" s="16">
        <f t="shared" si="7"/>
        <v>0.77739527664542474</v>
      </c>
      <c r="M28" s="16">
        <f t="shared" si="8"/>
        <v>1.0085326149006948</v>
      </c>
      <c r="N28" s="16">
        <f t="shared" si="15"/>
        <v>0.78402849116665929</v>
      </c>
      <c r="O28" s="16">
        <f t="shared" si="16"/>
        <v>0.36300000000000004</v>
      </c>
      <c r="P28" s="16">
        <f t="shared" si="9"/>
        <v>1.541636363880946</v>
      </c>
      <c r="Q28" s="16">
        <f t="shared" si="10"/>
        <v>0.25286695671434217</v>
      </c>
      <c r="R28" s="16">
        <f t="shared" si="11"/>
        <v>0.79440497354938555</v>
      </c>
      <c r="S28" s="16">
        <f t="shared" si="12"/>
        <v>6.0133164914841835E-3</v>
      </c>
      <c r="T28" s="16">
        <f t="shared" si="13"/>
        <v>0.66</v>
      </c>
      <c r="U28" s="16"/>
      <c r="V28" s="16">
        <f t="shared" si="3"/>
        <v>0.85782331201914508</v>
      </c>
      <c r="W28" s="16">
        <f t="shared" ref="W28:AQ28" si="36">9.81/(2*PI())*$E$9^2*TANH(2*PI()*$H28/V28)</f>
        <v>6.2412833860072574</v>
      </c>
      <c r="X28" s="16">
        <f t="shared" si="36"/>
        <v>3.1431203619644306</v>
      </c>
      <c r="Y28" s="16">
        <f t="shared" si="36"/>
        <v>4.9981085841831838</v>
      </c>
      <c r="Z28" s="16">
        <f t="shared" si="36"/>
        <v>3.7402010556962102</v>
      </c>
      <c r="AA28" s="16">
        <f t="shared" si="36"/>
        <v>4.545034837142329</v>
      </c>
      <c r="AB28" s="16">
        <f t="shared" si="36"/>
        <v>4.0049138278651988</v>
      </c>
      <c r="AC28" s="16">
        <f t="shared" si="36"/>
        <v>4.3575381637530031</v>
      </c>
      <c r="AD28" s="16">
        <f t="shared" si="36"/>
        <v>4.1226964785969269</v>
      </c>
      <c r="AE28" s="16">
        <f t="shared" si="36"/>
        <v>4.2771672595617813</v>
      </c>
      <c r="AF28" s="16">
        <f t="shared" si="36"/>
        <v>4.1746913523733467</v>
      </c>
      <c r="AG28" s="16">
        <f t="shared" si="36"/>
        <v>4.2423010350614314</v>
      </c>
      <c r="AH28" s="16">
        <f t="shared" si="36"/>
        <v>4.1975295111636317</v>
      </c>
      <c r="AI28" s="16">
        <f t="shared" si="36"/>
        <v>4.2271058658126641</v>
      </c>
      <c r="AJ28" s="16">
        <f t="shared" si="36"/>
        <v>4.2075360403156719</v>
      </c>
      <c r="AK28" s="16">
        <f t="shared" si="36"/>
        <v>4.2204711143065055</v>
      </c>
      <c r="AL28" s="16">
        <f t="shared" si="36"/>
        <v>4.2119154003352399</v>
      </c>
      <c r="AM28" s="16">
        <f t="shared" si="36"/>
        <v>4.217571826112291</v>
      </c>
      <c r="AN28" s="16">
        <f t="shared" si="36"/>
        <v>4.213831053074605</v>
      </c>
      <c r="AO28" s="16">
        <f t="shared" si="36"/>
        <v>4.2163044423641098</v>
      </c>
      <c r="AP28" s="16">
        <f t="shared" si="36"/>
        <v>4.2146688242289843</v>
      </c>
      <c r="AQ28" s="16">
        <f t="shared" si="36"/>
        <v>4.215750339875445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0.81961852491409259</v>
      </c>
      <c r="J29" s="22" t="e">
        <f t="shared" si="34"/>
        <v>#DIV/0!</v>
      </c>
      <c r="K29" s="22">
        <f t="shared" si="35"/>
        <v>1.5407760181148571</v>
      </c>
      <c r="L29" s="16">
        <f t="shared" si="7"/>
        <v>0.77038800905742855</v>
      </c>
      <c r="M29" s="16">
        <f t="shared" si="8"/>
        <v>1.0050586563162676</v>
      </c>
      <c r="N29" s="16">
        <f t="shared" si="15"/>
        <v>0.77428513722542369</v>
      </c>
      <c r="O29" s="16">
        <f t="shared" si="16"/>
        <v>0.38940000000000002</v>
      </c>
      <c r="P29" s="16">
        <f t="shared" si="9"/>
        <v>1.533020991791759</v>
      </c>
      <c r="Q29" s="16">
        <f t="shared" si="10"/>
        <v>0.23557828431354916</v>
      </c>
      <c r="R29" s="16">
        <f t="shared" si="11"/>
        <v>0.74009100734473365</v>
      </c>
      <c r="S29" s="16">
        <f t="shared" si="12"/>
        <v>6.0859336735256701E-3</v>
      </c>
      <c r="T29" s="16">
        <f t="shared" si="13"/>
        <v>0.66</v>
      </c>
      <c r="U29" s="16"/>
      <c r="V29" s="16">
        <f t="shared" si="3"/>
        <v>0.91933576896585223</v>
      </c>
      <c r="W29" s="16">
        <f t="shared" ref="W29:AQ29" si="37">9.81/(2*PI())*$E$9^2*TANH(2*PI()*$H29/V29)</f>
        <v>6.2413135908224557</v>
      </c>
      <c r="X29" s="16">
        <f t="shared" si="37"/>
        <v>3.3270667044420836</v>
      </c>
      <c r="Y29" s="16">
        <f t="shared" si="37"/>
        <v>5.0308438048360582</v>
      </c>
      <c r="Z29" s="16">
        <f t="shared" si="37"/>
        <v>3.9173301412767132</v>
      </c>
      <c r="AA29" s="16">
        <f t="shared" si="37"/>
        <v>4.6097125081159041</v>
      </c>
      <c r="AB29" s="16">
        <f t="shared" si="37"/>
        <v>4.1616533641444775</v>
      </c>
      <c r="AC29" s="16">
        <f t="shared" si="37"/>
        <v>4.4452009307522786</v>
      </c>
      <c r="AD29" s="16">
        <f t="shared" si="37"/>
        <v>4.2629493026636869</v>
      </c>
      <c r="AE29" s="16">
        <f t="shared" si="37"/>
        <v>4.3789940451759222</v>
      </c>
      <c r="AF29" s="16">
        <f t="shared" si="37"/>
        <v>4.3046430343710496</v>
      </c>
      <c r="AG29" s="16">
        <f t="shared" si="37"/>
        <v>4.3520951250155369</v>
      </c>
      <c r="AH29" s="16">
        <f t="shared" si="37"/>
        <v>4.3217337577600672</v>
      </c>
      <c r="AI29" s="16">
        <f t="shared" si="37"/>
        <v>4.3411288586305146</v>
      </c>
      <c r="AJ29" s="16">
        <f t="shared" si="37"/>
        <v>4.3287263442375234</v>
      </c>
      <c r="AK29" s="16">
        <f t="shared" si="37"/>
        <v>4.3366521380517469</v>
      </c>
      <c r="AL29" s="16">
        <f t="shared" si="37"/>
        <v>4.3315850530375481</v>
      </c>
      <c r="AM29" s="16">
        <f t="shared" si="37"/>
        <v>4.3348236522096872</v>
      </c>
      <c r="AN29" s="16">
        <f t="shared" si="37"/>
        <v>4.3327533645526461</v>
      </c>
      <c r="AO29" s="16">
        <f t="shared" si="37"/>
        <v>4.3340766593477245</v>
      </c>
      <c r="AP29" s="16">
        <f t="shared" si="37"/>
        <v>4.3332307711959404</v>
      </c>
      <c r="AQ29" s="16">
        <f t="shared" si="37"/>
        <v>4.3337714630611774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0.80211598466297418</v>
      </c>
      <c r="J30" s="22" t="e">
        <f t="shared" si="34"/>
        <v>#DIV/0!</v>
      </c>
      <c r="K30" s="22">
        <f t="shared" si="35"/>
        <v>1.5086329761747062</v>
      </c>
      <c r="L30" s="16">
        <f t="shared" si="7"/>
        <v>0.75431648808735308</v>
      </c>
      <c r="M30" s="16">
        <f t="shared" si="8"/>
        <v>1.0058360120651402</v>
      </c>
      <c r="N30" s="16">
        <f t="shared" si="15"/>
        <v>0.758718688212765</v>
      </c>
      <c r="O30" s="16">
        <f t="shared" si="16"/>
        <v>0.43230000000000002</v>
      </c>
      <c r="P30" s="16">
        <f t="shared" si="9"/>
        <v>1.4998796603804674</v>
      </c>
      <c r="Q30" s="16">
        <f t="shared" si="10"/>
        <v>0.23984459313264947</v>
      </c>
      <c r="R30" s="16">
        <f t="shared" si="11"/>
        <v>0.75349401178876452</v>
      </c>
      <c r="S30" s="16">
        <f t="shared" si="12"/>
        <v>6.0673525588949683E-3</v>
      </c>
      <c r="T30" s="16">
        <f t="shared" si="13"/>
        <v>0.66</v>
      </c>
      <c r="U30" s="16"/>
      <c r="V30" s="16">
        <f t="shared" si="3"/>
        <v>1.0189006637694944</v>
      </c>
      <c r="W30" s="16">
        <f t="shared" ref="W30:AQ30" si="38">9.81/(2*PI())*$E$9^2*TANH(2*PI()*$H30/V30)</f>
        <v>6.2413666000506769</v>
      </c>
      <c r="X30" s="16">
        <f t="shared" si="38"/>
        <v>3.6094765761203873</v>
      </c>
      <c r="Y30" s="16">
        <f t="shared" si="38"/>
        <v>5.0866093632544462</v>
      </c>
      <c r="Z30" s="16">
        <f t="shared" si="38"/>
        <v>4.1785887908377637</v>
      </c>
      <c r="AA30" s="16">
        <f t="shared" si="38"/>
        <v>4.71627201551519</v>
      </c>
      <c r="AB30" s="16">
        <f t="shared" si="38"/>
        <v>4.388529829216691</v>
      </c>
      <c r="AC30" s="16">
        <f t="shared" si="38"/>
        <v>4.5852661380446458</v>
      </c>
      <c r="AD30" s="16">
        <f t="shared" si="38"/>
        <v>4.4659759521990958</v>
      </c>
      <c r="AE30" s="16">
        <f t="shared" si="38"/>
        <v>4.5378895073802852</v>
      </c>
      <c r="AF30" s="16">
        <f t="shared" si="38"/>
        <v>4.4943802347015183</v>
      </c>
      <c r="AG30" s="16">
        <f t="shared" si="38"/>
        <v>4.5206480499430928</v>
      </c>
      <c r="AH30" s="16">
        <f t="shared" si="38"/>
        <v>4.504768672467077</v>
      </c>
      <c r="AI30" s="16">
        <f t="shared" si="38"/>
        <v>4.5143605226618018</v>
      </c>
      <c r="AJ30" s="16">
        <f t="shared" si="38"/>
        <v>4.5085638614706269</v>
      </c>
      <c r="AK30" s="16">
        <f t="shared" si="38"/>
        <v>4.5120659643645009</v>
      </c>
      <c r="AL30" s="16">
        <f t="shared" si="38"/>
        <v>4.5099497714889747</v>
      </c>
      <c r="AM30" s="16">
        <f t="shared" si="38"/>
        <v>4.511228375605894</v>
      </c>
      <c r="AN30" s="16">
        <f t="shared" si="38"/>
        <v>4.5104557938416345</v>
      </c>
      <c r="AO30" s="16">
        <f t="shared" si="38"/>
        <v>4.5109225995887172</v>
      </c>
      <c r="AP30" s="16">
        <f t="shared" si="38"/>
        <v>4.5106405418787521</v>
      </c>
      <c r="AQ30" s="16">
        <f t="shared" si="38"/>
        <v>4.5108109670311745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0.80610827566895238</v>
      </c>
      <c r="J31" s="22" t="e">
        <f t="shared" si="34"/>
        <v>#DIV/0!</v>
      </c>
      <c r="K31" s="22">
        <f t="shared" si="35"/>
        <v>1.5262515169150075</v>
      </c>
      <c r="L31" s="16">
        <f t="shared" si="7"/>
        <v>0.76312575845750374</v>
      </c>
      <c r="M31" s="16">
        <f t="shared" si="8"/>
        <v>1</v>
      </c>
      <c r="N31" s="16">
        <f t="shared" si="15"/>
        <v>0.76312575845750374</v>
      </c>
      <c r="O31" s="16">
        <f t="shared" si="16"/>
        <v>0.42240000000000005</v>
      </c>
      <c r="P31" s="16">
        <f t="shared" si="9"/>
        <v>1.5262515169150075</v>
      </c>
      <c r="Q31" s="16">
        <f t="shared" si="10"/>
        <v>0.26937040787127409</v>
      </c>
      <c r="R31" s="16">
        <f t="shared" si="11"/>
        <v>0.84625209446288086</v>
      </c>
      <c r="S31" s="16">
        <f t="shared" si="12"/>
        <v>5.9500486425179376E-3</v>
      </c>
      <c r="T31" s="16">
        <f t="shared" si="13"/>
        <v>0.66</v>
      </c>
      <c r="U31" s="16"/>
      <c r="V31" s="16">
        <f t="shared" si="3"/>
        <v>0.99596934816285698</v>
      </c>
      <c r="W31" s="16">
        <f t="shared" ref="W31:AQ31" si="39">9.81/(2*PI())*$E$9^2*TANH(2*PI()*$H31/V31)</f>
        <v>6.2413539447641213</v>
      </c>
      <c r="X31" s="16">
        <f t="shared" si="39"/>
        <v>3.5461292077165627</v>
      </c>
      <c r="Y31" s="16">
        <f t="shared" si="39"/>
        <v>5.0734888229811963</v>
      </c>
      <c r="Z31" s="16">
        <f t="shared" si="39"/>
        <v>4.1210992520295706</v>
      </c>
      <c r="AA31" s="16">
        <f t="shared" si="39"/>
        <v>4.691600712384151</v>
      </c>
      <c r="AB31" s="16">
        <f t="shared" si="39"/>
        <v>4.3389926139206629</v>
      </c>
      <c r="AC31" s="16">
        <f t="shared" si="39"/>
        <v>4.553300619790865</v>
      </c>
      <c r="AD31" s="16">
        <f t="shared" si="39"/>
        <v>4.4215855774581714</v>
      </c>
      <c r="AE31" s="16">
        <f t="shared" si="39"/>
        <v>4.5020134071966798</v>
      </c>
      <c r="AF31" s="16">
        <f t="shared" si="39"/>
        <v>4.4527004017082117</v>
      </c>
      <c r="AG31" s="16">
        <f t="shared" si="39"/>
        <v>4.4828613168013618</v>
      </c>
      <c r="AH31" s="16">
        <f t="shared" si="39"/>
        <v>4.4643860181329709</v>
      </c>
      <c r="AI31" s="16">
        <f t="shared" si="39"/>
        <v>4.4756926904866514</v>
      </c>
      <c r="AJ31" s="16">
        <f t="shared" si="39"/>
        <v>4.4687691807737213</v>
      </c>
      <c r="AK31" s="16">
        <f t="shared" si="39"/>
        <v>4.4730072327472143</v>
      </c>
      <c r="AL31" s="16">
        <f t="shared" si="39"/>
        <v>4.4704124609703939</v>
      </c>
      <c r="AM31" s="16">
        <f t="shared" si="39"/>
        <v>4.4720009171031982</v>
      </c>
      <c r="AN31" s="16">
        <f t="shared" si="39"/>
        <v>4.4710284249703038</v>
      </c>
      <c r="AO31" s="16">
        <f t="shared" si="39"/>
        <v>4.4716237795027087</v>
      </c>
      <c r="AP31" s="16">
        <f t="shared" si="39"/>
        <v>4.4712592956636295</v>
      </c>
      <c r="AQ31" s="16">
        <f t="shared" si="39"/>
        <v>4.4714824333389487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0.78283440730166409</v>
      </c>
      <c r="J32" s="22" t="e">
        <f t="shared" si="34"/>
        <v>#DIV/0!</v>
      </c>
      <c r="K32" s="22">
        <f t="shared" si="35"/>
        <v>1.47736981008232</v>
      </c>
      <c r="L32" s="16">
        <f t="shared" si="7"/>
        <v>0.73868490504116002</v>
      </c>
      <c r="M32" s="16">
        <f t="shared" si="8"/>
        <v>1.0039634615772439</v>
      </c>
      <c r="N32" s="16">
        <f t="shared" si="15"/>
        <v>0.74161265427998069</v>
      </c>
      <c r="O32" s="16">
        <f t="shared" si="16"/>
        <v>0.48113999999999979</v>
      </c>
      <c r="P32" s="16">
        <f t="shared" si="9"/>
        <v>1.4715374280268592</v>
      </c>
      <c r="Q32" s="16">
        <f t="shared" si="10"/>
        <v>0.24661232673924158</v>
      </c>
      <c r="R32" s="16">
        <f t="shared" si="11"/>
        <v>0.77475547396868705</v>
      </c>
      <c r="S32" s="16">
        <f t="shared" si="12"/>
        <v>6.0387840077531655E-3</v>
      </c>
      <c r="T32" s="16">
        <f t="shared" si="13"/>
        <v>0.66</v>
      </c>
      <c r="U32" s="16"/>
      <c r="V32" s="16">
        <f t="shared" si="3"/>
        <v>1.1316044754679337</v>
      </c>
      <c r="W32" s="16">
        <f t="shared" ref="W32:AQ32" si="40">9.81/(2*PI())*$E$9^2*TANH(2*PI()*$H32/V32)</f>
        <v>6.241432611991268</v>
      </c>
      <c r="X32" s="16">
        <f t="shared" si="40"/>
        <v>3.9059689208487423</v>
      </c>
      <c r="Y32" s="16">
        <f t="shared" si="40"/>
        <v>5.1531263396738085</v>
      </c>
      <c r="Z32" s="16">
        <f t="shared" si="40"/>
        <v>4.4393257326960072</v>
      </c>
      <c r="AA32" s="16">
        <f t="shared" si="40"/>
        <v>4.8377150759155585</v>
      </c>
      <c r="AB32" s="16">
        <f t="shared" si="40"/>
        <v>4.6111085927680966</v>
      </c>
      <c r="AC32" s="16">
        <f t="shared" si="40"/>
        <v>4.7388063334448409</v>
      </c>
      <c r="AD32" s="16">
        <f t="shared" si="40"/>
        <v>4.66643184025913</v>
      </c>
      <c r="AE32" s="16">
        <f t="shared" si="40"/>
        <v>4.7073240613968226</v>
      </c>
      <c r="AF32" s="16">
        <f t="shared" si="40"/>
        <v>4.6841779523351281</v>
      </c>
      <c r="AG32" s="16">
        <f t="shared" si="40"/>
        <v>4.6972661321541267</v>
      </c>
      <c r="AH32" s="16">
        <f t="shared" si="40"/>
        <v>4.6898610613863712</v>
      </c>
      <c r="AI32" s="16">
        <f t="shared" si="40"/>
        <v>4.6940493745408105</v>
      </c>
      <c r="AJ32" s="16">
        <f t="shared" si="40"/>
        <v>4.6916800284811488</v>
      </c>
      <c r="AK32" s="16">
        <f t="shared" si="40"/>
        <v>4.6930202389034337</v>
      </c>
      <c r="AL32" s="16">
        <f t="shared" si="40"/>
        <v>4.6922621103031625</v>
      </c>
      <c r="AM32" s="16">
        <f t="shared" si="40"/>
        <v>4.6926909533881878</v>
      </c>
      <c r="AN32" s="16">
        <f t="shared" si="40"/>
        <v>4.6924483694361765</v>
      </c>
      <c r="AO32" s="16">
        <f t="shared" si="40"/>
        <v>4.6925855906091503</v>
      </c>
      <c r="AP32" s="16">
        <f t="shared" si="40"/>
        <v>4.6925079689739935</v>
      </c>
      <c r="AQ32" s="16">
        <f t="shared" si="40"/>
        <v>4.6925518769053651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0.79056796784897176</v>
      </c>
      <c r="J33" s="22" t="e">
        <f t="shared" si="34"/>
        <v>#DIV/0!</v>
      </c>
      <c r="K33" s="22">
        <f t="shared" si="35"/>
        <v>1.4988898387777565</v>
      </c>
      <c r="L33" s="16">
        <f t="shared" si="7"/>
        <v>0.74944491938887825</v>
      </c>
      <c r="M33" s="16">
        <f t="shared" si="8"/>
        <v>1.0108432230533588</v>
      </c>
      <c r="N33" s="16">
        <f t="shared" si="15"/>
        <v>0.75757131781601839</v>
      </c>
      <c r="O33" s="16">
        <f t="shared" si="16"/>
        <v>0.46133999999999992</v>
      </c>
      <c r="P33" s="16">
        <f t="shared" si="9"/>
        <v>1.4828113841928932</v>
      </c>
      <c r="Q33" s="16">
        <f t="shared" si="10"/>
        <v>0.28687157071262631</v>
      </c>
      <c r="R33" s="16">
        <f t="shared" si="11"/>
        <v>0.90123361907455168</v>
      </c>
      <c r="S33" s="16">
        <f t="shared" si="12"/>
        <v>5.8884771133743572E-3</v>
      </c>
      <c r="T33" s="16">
        <f t="shared" si="13"/>
        <v>0.66</v>
      </c>
      <c r="U33" s="16"/>
      <c r="V33" s="16">
        <f t="shared" si="3"/>
        <v>1.0860010081088805</v>
      </c>
      <c r="W33" s="16">
        <f t="shared" ref="W33:AQ33" si="41">9.81/(2*PI())*$E$9^2*TANH(2*PI()*$H33/V33)</f>
        <v>6.2414051444197183</v>
      </c>
      <c r="X33" s="16">
        <f t="shared" si="41"/>
        <v>3.788973808956023</v>
      </c>
      <c r="Y33" s="16">
        <f t="shared" si="41"/>
        <v>5.1258370425122131</v>
      </c>
      <c r="Z33" s="16">
        <f t="shared" si="41"/>
        <v>4.3380581908344285</v>
      </c>
      <c r="AA33" s="16">
        <f t="shared" si="41"/>
        <v>4.7886127796656535</v>
      </c>
      <c r="AB33" s="16">
        <f t="shared" si="41"/>
        <v>4.5250094842920072</v>
      </c>
      <c r="AC33" s="16">
        <f t="shared" si="41"/>
        <v>4.6774670785015342</v>
      </c>
      <c r="AD33" s="16">
        <f t="shared" si="41"/>
        <v>4.5886480875112206</v>
      </c>
      <c r="AE33" s="16">
        <f t="shared" si="41"/>
        <v>4.6401839879355355</v>
      </c>
      <c r="AF33" s="16">
        <f t="shared" si="41"/>
        <v>4.6102088856667383</v>
      </c>
      <c r="AG33" s="16">
        <f t="shared" si="41"/>
        <v>4.6276194414027252</v>
      </c>
      <c r="AH33" s="16">
        <f t="shared" si="41"/>
        <v>4.6174986188701519</v>
      </c>
      <c r="AI33" s="16">
        <f t="shared" si="41"/>
        <v>4.6233791420181314</v>
      </c>
      <c r="AJ33" s="16">
        <f t="shared" si="41"/>
        <v>4.6199614378659737</v>
      </c>
      <c r="AK33" s="16">
        <f t="shared" si="41"/>
        <v>4.6219474610581379</v>
      </c>
      <c r="AL33" s="16">
        <f t="shared" si="41"/>
        <v>4.6207932795729088</v>
      </c>
      <c r="AM33" s="16">
        <f t="shared" si="41"/>
        <v>4.6214639987066981</v>
      </c>
      <c r="AN33" s="16">
        <f t="shared" si="41"/>
        <v>4.6210742176107402</v>
      </c>
      <c r="AO33" s="16">
        <f t="shared" si="41"/>
        <v>4.6213007305494598</v>
      </c>
      <c r="AP33" s="16">
        <f t="shared" si="41"/>
        <v>4.6211690960246212</v>
      </c>
      <c r="AQ33" s="16">
        <f t="shared" si="41"/>
        <v>4.6212455929464236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0.80905380581482111</v>
      </c>
      <c r="J34" s="22" t="e">
        <f t="shared" si="34"/>
        <v>#DIV/0!</v>
      </c>
      <c r="K34" s="22">
        <f t="shared" si="35"/>
        <v>1.5556437620477621</v>
      </c>
      <c r="L34" s="16">
        <f t="shared" si="7"/>
        <v>0.77782188102388106</v>
      </c>
      <c r="M34" s="16">
        <f t="shared" si="8"/>
        <v>1.0092048797182656</v>
      </c>
      <c r="N34" s="16">
        <f t="shared" si="15"/>
        <v>0.784981637880941</v>
      </c>
      <c r="O34" s="16">
        <f t="shared" si="16"/>
        <v>0.41514000000000001</v>
      </c>
      <c r="P34" s="16">
        <f t="shared" si="9"/>
        <v>1.541454855511641</v>
      </c>
      <c r="Q34" s="16">
        <f t="shared" si="10"/>
        <v>0.28996823421530576</v>
      </c>
      <c r="R34" s="16">
        <f t="shared" si="11"/>
        <v>0.91096207438520915</v>
      </c>
      <c r="S34" s="16">
        <f t="shared" si="12"/>
        <v>5.8781135163703882E-3</v>
      </c>
      <c r="T34" s="16">
        <f t="shared" si="13"/>
        <v>0.66</v>
      </c>
      <c r="U34" s="16"/>
      <c r="V34" s="16">
        <f t="shared" si="3"/>
        <v>0.979135481236317</v>
      </c>
      <c r="W34" s="16">
        <f t="shared" ref="W34:AQ34" si="42">9.81/(2*PI())*$E$9^2*TANH(2*PI()*$H34/V34)</f>
        <v>6.2413448237527032</v>
      </c>
      <c r="X34" s="16">
        <f t="shared" si="42"/>
        <v>3.4989779001889088</v>
      </c>
      <c r="Y34" s="16">
        <f t="shared" si="42"/>
        <v>5.0639578967823455</v>
      </c>
      <c r="Z34" s="16">
        <f t="shared" si="42"/>
        <v>4.0778926217237661</v>
      </c>
      <c r="AA34" s="16">
        <f t="shared" si="42"/>
        <v>4.6735265540733177</v>
      </c>
      <c r="AB34" s="16">
        <f t="shared" si="42"/>
        <v>4.3016283885957192</v>
      </c>
      <c r="AC34" s="16">
        <f t="shared" si="42"/>
        <v>4.5297088312296125</v>
      </c>
      <c r="AD34" s="16">
        <f t="shared" si="42"/>
        <v>4.3881353827360403</v>
      </c>
      <c r="AE34" s="16">
        <f t="shared" si="42"/>
        <v>4.4753927473994306</v>
      </c>
      <c r="AF34" s="16">
        <f t="shared" si="42"/>
        <v>4.4213692195431786</v>
      </c>
      <c r="AG34" s="16">
        <f t="shared" si="42"/>
        <v>4.4547253112683745</v>
      </c>
      <c r="AH34" s="16">
        <f t="shared" si="42"/>
        <v>4.4340947552900341</v>
      </c>
      <c r="AI34" s="16">
        <f t="shared" si="42"/>
        <v>4.4468412421406818</v>
      </c>
      <c r="AJ34" s="16">
        <f t="shared" si="42"/>
        <v>4.4389607499569541</v>
      </c>
      <c r="AK34" s="16">
        <f t="shared" si="42"/>
        <v>4.4438308915647022</v>
      </c>
      <c r="AL34" s="16">
        <f t="shared" si="42"/>
        <v>4.4408203963573269</v>
      </c>
      <c r="AM34" s="16">
        <f t="shared" si="42"/>
        <v>4.4426810585985343</v>
      </c>
      <c r="AN34" s="16">
        <f t="shared" si="42"/>
        <v>4.4415309511076861</v>
      </c>
      <c r="AO34" s="16">
        <f t="shared" si="42"/>
        <v>4.4422418106756076</v>
      </c>
      <c r="AP34" s="16">
        <f t="shared" si="42"/>
        <v>4.441802425941483</v>
      </c>
      <c r="AQ34" s="16">
        <f t="shared" si="42"/>
        <v>4.4420740050566074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0.84786867500822338</v>
      </c>
      <c r="J35" s="22" t="e">
        <f t="shared" si="34"/>
        <v>#DIV/0!</v>
      </c>
      <c r="K35" s="22">
        <f t="shared" si="35"/>
        <v>1.6719563697226638</v>
      </c>
      <c r="L35" s="16">
        <f t="shared" si="7"/>
        <v>0.83597818486133191</v>
      </c>
      <c r="M35" s="16">
        <f t="shared" si="8"/>
        <v>1.0109171553517433</v>
      </c>
      <c r="N35" s="16">
        <f t="shared" si="15"/>
        <v>0.84510468857613141</v>
      </c>
      <c r="O35" s="16">
        <f t="shared" si="16"/>
        <v>0.32273999999999992</v>
      </c>
      <c r="P35" s="16">
        <f t="shared" si="9"/>
        <v>1.6539004812327232</v>
      </c>
      <c r="Q35" s="16">
        <f t="shared" si="10"/>
        <v>0.29593394714109617</v>
      </c>
      <c r="R35" s="16">
        <f t="shared" si="11"/>
        <v>0.92970391428629795</v>
      </c>
      <c r="S35" s="16">
        <f t="shared" si="12"/>
        <v>5.8585657407549908E-3</v>
      </c>
      <c r="T35" s="16">
        <f t="shared" si="13"/>
        <v>0.66</v>
      </c>
      <c r="U35" s="16"/>
      <c r="V35" s="16">
        <f t="shared" si="3"/>
        <v>0.76369327670666176</v>
      </c>
      <c r="W35" s="16">
        <f t="shared" ref="W35:AQ35" si="43">9.81/(2*PI())*$E$9^2*TANH(2*PI()*$H35/V35)</f>
        <v>6.2412409989559423</v>
      </c>
      <c r="X35" s="16">
        <f t="shared" si="43"/>
        <v>2.8480116424279802</v>
      </c>
      <c r="Y35" s="16">
        <f t="shared" si="43"/>
        <v>4.95097166291385</v>
      </c>
      <c r="Z35" s="16">
        <f t="shared" si="43"/>
        <v>3.4444511750245188</v>
      </c>
      <c r="AA35" s="16">
        <f t="shared" si="43"/>
        <v>4.4490093375893158</v>
      </c>
      <c r="AB35" s="16">
        <f t="shared" si="43"/>
        <v>3.7369400369444823</v>
      </c>
      <c r="AC35" s="16">
        <f t="shared" si="43"/>
        <v>4.2234091470545509</v>
      </c>
      <c r="AD35" s="16">
        <f t="shared" si="43"/>
        <v>3.8815781305665937</v>
      </c>
      <c r="AE35" s="16">
        <f t="shared" si="43"/>
        <v>4.1174137362258527</v>
      </c>
      <c r="AF35" s="16">
        <f t="shared" si="43"/>
        <v>3.9525230391182546</v>
      </c>
      <c r="AG35" s="16">
        <f t="shared" si="43"/>
        <v>4.0667796516567165</v>
      </c>
      <c r="AH35" s="16">
        <f t="shared" si="43"/>
        <v>3.9871013790111025</v>
      </c>
      <c r="AI35" s="16">
        <f t="shared" si="43"/>
        <v>4.0424234498123557</v>
      </c>
      <c r="AJ35" s="16">
        <f t="shared" si="43"/>
        <v>4.0038940219297157</v>
      </c>
      <c r="AK35" s="16">
        <f t="shared" si="43"/>
        <v>4.0306711774614703</v>
      </c>
      <c r="AL35" s="16">
        <f t="shared" si="43"/>
        <v>4.0120339586473568</v>
      </c>
      <c r="AM35" s="16">
        <f t="shared" si="43"/>
        <v>4.0249923427874936</v>
      </c>
      <c r="AN35" s="16">
        <f t="shared" si="43"/>
        <v>4.0159759622220452</v>
      </c>
      <c r="AO35" s="16">
        <f t="shared" si="43"/>
        <v>4.0222463906786592</v>
      </c>
      <c r="AP35" s="16">
        <f t="shared" si="43"/>
        <v>4.0178841170244679</v>
      </c>
      <c r="AQ35" s="16">
        <f t="shared" si="43"/>
        <v>4.0209181748411948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0.88638609744412933</v>
      </c>
      <c r="J36" s="22" t="e">
        <f t="shared" si="34"/>
        <v>#DIV/0!</v>
      </c>
      <c r="K36" s="22">
        <f t="shared" si="35"/>
        <v>1.825971982328362</v>
      </c>
      <c r="L36" s="16">
        <f t="shared" si="7"/>
        <v>0.912985991164181</v>
      </c>
      <c r="M36" s="16">
        <f t="shared" si="8"/>
        <v>1.0385111823222246</v>
      </c>
      <c r="N36" s="16">
        <f t="shared" si="15"/>
        <v>0.94814616112754169</v>
      </c>
      <c r="O36" s="16">
        <f t="shared" si="16"/>
        <v>0.23694000000000001</v>
      </c>
      <c r="P36" s="16">
        <f t="shared" si="9"/>
        <v>1.7582593364524866</v>
      </c>
      <c r="Q36" s="16">
        <f t="shared" si="10"/>
        <v>0.26850983995095307</v>
      </c>
      <c r="R36" s="16">
        <f t="shared" si="11"/>
        <v>0.84354854060648532</v>
      </c>
      <c r="S36" s="16">
        <f t="shared" si="12"/>
        <v>5.9532160498601636E-3</v>
      </c>
      <c r="T36" s="16">
        <f t="shared" si="13"/>
        <v>0.66</v>
      </c>
      <c r="U36" s="16"/>
      <c r="V36" s="16">
        <f t="shared" si="3"/>
        <v>0.56196228075888144</v>
      </c>
      <c r="W36" s="16">
        <f t="shared" ref="W36:AQ36" si="44">9.81/(2*PI())*$E$9^2*TANH(2*PI()*$H36/V36)</f>
        <v>6.2411661324311334</v>
      </c>
      <c r="X36" s="16">
        <f t="shared" si="44"/>
        <v>2.1637355390948256</v>
      </c>
      <c r="Y36" s="16">
        <f t="shared" si="44"/>
        <v>4.8642161830172244</v>
      </c>
      <c r="Z36" s="16">
        <f t="shared" si="44"/>
        <v>2.7049141866558153</v>
      </c>
      <c r="AA36" s="16">
        <f t="shared" si="44"/>
        <v>4.2628233968244302</v>
      </c>
      <c r="AB36" s="16">
        <f t="shared" si="44"/>
        <v>3.0272512826813758</v>
      </c>
      <c r="AC36" s="16">
        <f t="shared" si="44"/>
        <v>3.9484168122395467</v>
      </c>
      <c r="AD36" s="16">
        <f t="shared" si="44"/>
        <v>3.2244231356144324</v>
      </c>
      <c r="AE36" s="16">
        <f t="shared" si="44"/>
        <v>3.7726600014309342</v>
      </c>
      <c r="AF36" s="16">
        <f t="shared" si="44"/>
        <v>3.3446488760589994</v>
      </c>
      <c r="AG36" s="16">
        <f t="shared" si="44"/>
        <v>3.6714084022337512</v>
      </c>
      <c r="AH36" s="16">
        <f t="shared" si="44"/>
        <v>3.4174418517860632</v>
      </c>
      <c r="AI36" s="16">
        <f t="shared" si="44"/>
        <v>3.6122030373721987</v>
      </c>
      <c r="AJ36" s="16">
        <f t="shared" si="44"/>
        <v>3.4612572047247152</v>
      </c>
      <c r="AK36" s="16">
        <f t="shared" si="44"/>
        <v>3.5773105876624318</v>
      </c>
      <c r="AL36" s="16">
        <f t="shared" si="44"/>
        <v>3.4875228452656208</v>
      </c>
      <c r="AM36" s="16">
        <f t="shared" si="44"/>
        <v>3.5566577353833004</v>
      </c>
      <c r="AN36" s="16">
        <f t="shared" si="44"/>
        <v>3.5032265940333636</v>
      </c>
      <c r="AO36" s="16">
        <f t="shared" si="44"/>
        <v>3.5444033035048643</v>
      </c>
      <c r="AP36" s="16">
        <f t="shared" si="44"/>
        <v>3.5126001524874977</v>
      </c>
      <c r="AQ36" s="16">
        <f t="shared" si="44"/>
        <v>3.5371217975971363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0.92912864494549008</v>
      </c>
      <c r="J37" s="22" t="e">
        <f t="shared" si="34"/>
        <v>#DIV/0!</v>
      </c>
      <c r="K37" s="22">
        <f t="shared" si="35"/>
        <v>2.1218761348251562</v>
      </c>
      <c r="L37" s="16">
        <f t="shared" si="7"/>
        <v>1.0609380674125781</v>
      </c>
      <c r="M37" s="16">
        <f t="shared" si="8"/>
        <v>1.2121476123652262</v>
      </c>
      <c r="N37" s="16">
        <f t="shared" si="15"/>
        <v>1.286013545281534</v>
      </c>
      <c r="O37" s="16">
        <f t="shared" si="16"/>
        <v>0.15113999999999977</v>
      </c>
      <c r="P37" s="16">
        <f t="shared" si="9"/>
        <v>1.7505096847774215</v>
      </c>
      <c r="Q37" s="16">
        <f t="shared" si="10"/>
        <v>0.24681711878694917</v>
      </c>
      <c r="R37" s="16">
        <f t="shared" si="11"/>
        <v>0.77539884716127883</v>
      </c>
      <c r="S37" s="16">
        <f t="shared" si="12"/>
        <v>6.0379362345913861E-3</v>
      </c>
      <c r="T37" s="16">
        <f t="shared" si="13"/>
        <v>0.66</v>
      </c>
      <c r="U37" s="16"/>
      <c r="V37" s="16">
        <f t="shared" si="3"/>
        <v>0.35904205000380462</v>
      </c>
      <c r="W37" s="16">
        <f t="shared" ref="W37:AQ37" si="45">9.81/(2*PI())*$E$9^2*TANH(2*PI()*$H37/V37)</f>
        <v>6.2411133575390254</v>
      </c>
      <c r="X37" s="16">
        <f t="shared" si="45"/>
        <v>1.4148230323225885</v>
      </c>
      <c r="Y37" s="16">
        <f t="shared" si="45"/>
        <v>4.8003062351722887</v>
      </c>
      <c r="Z37" s="16">
        <f t="shared" si="45"/>
        <v>1.8178378139072056</v>
      </c>
      <c r="AA37" s="16">
        <f t="shared" si="45"/>
        <v>4.1172838911326535</v>
      </c>
      <c r="AB37" s="16">
        <f t="shared" si="45"/>
        <v>2.0977861044042956</v>
      </c>
      <c r="AC37" s="16">
        <f t="shared" si="45"/>
        <v>3.7180089563002476</v>
      </c>
      <c r="AD37" s="16">
        <f t="shared" si="45"/>
        <v>2.303034794210908</v>
      </c>
      <c r="AE37" s="16">
        <f t="shared" si="45"/>
        <v>3.4625805504106073</v>
      </c>
      <c r="AF37" s="16">
        <f t="shared" si="45"/>
        <v>2.4554323223524466</v>
      </c>
      <c r="AG37" s="16">
        <f t="shared" si="45"/>
        <v>3.2912583023238828</v>
      </c>
      <c r="AH37" s="16">
        <f t="shared" si="45"/>
        <v>2.5686575334138899</v>
      </c>
      <c r="AI37" s="16">
        <f t="shared" si="45"/>
        <v>3.1731646807015088</v>
      </c>
      <c r="AJ37" s="16">
        <f t="shared" si="45"/>
        <v>2.6525099883798053</v>
      </c>
      <c r="AK37" s="16">
        <f t="shared" si="45"/>
        <v>3.0903881309139671</v>
      </c>
      <c r="AL37" s="16">
        <f t="shared" si="45"/>
        <v>2.714356737306848</v>
      </c>
      <c r="AM37" s="16">
        <f t="shared" si="45"/>
        <v>3.0317441109385221</v>
      </c>
      <c r="AN37" s="16">
        <f t="shared" si="45"/>
        <v>2.7597977367511488</v>
      </c>
      <c r="AO37" s="16">
        <f t="shared" si="45"/>
        <v>2.9899045200877512</v>
      </c>
      <c r="AP37" s="16">
        <f t="shared" si="45"/>
        <v>2.7930765734583649</v>
      </c>
      <c r="AQ37" s="16">
        <f t="shared" si="45"/>
        <v>2.9599127852429761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0.92211275289648376</v>
      </c>
      <c r="J38" s="22" t="e">
        <f t="shared" si="34"/>
        <v>#DIV/0!</v>
      </c>
      <c r="K38" s="22">
        <f t="shared" si="35"/>
        <v>2.518747151944595</v>
      </c>
      <c r="L38" s="16">
        <f t="shared" si="7"/>
        <v>1.2593735759722975</v>
      </c>
      <c r="M38" s="16">
        <f t="shared" si="8"/>
        <v>1.0665177459335804</v>
      </c>
      <c r="N38" s="16">
        <f t="shared" si="15"/>
        <v>1.3431442675342873</v>
      </c>
      <c r="O38" s="16">
        <f t="shared" si="16"/>
        <v>0.16433999999999979</v>
      </c>
      <c r="P38" s="16">
        <f t="shared" si="9"/>
        <v>2.3616551731540105</v>
      </c>
      <c r="Q38" s="16">
        <f t="shared" si="10"/>
        <v>0.15098520037207266</v>
      </c>
      <c r="R38" s="16">
        <f t="shared" si="11"/>
        <v>0.47433399628968642</v>
      </c>
      <c r="S38" s="16">
        <f t="shared" si="12"/>
        <v>6.5882950574951945E-3</v>
      </c>
      <c r="T38" s="16">
        <f t="shared" si="13"/>
        <v>0.66</v>
      </c>
      <c r="U38" s="16"/>
      <c r="V38" s="16">
        <f t="shared" si="3"/>
        <v>0.39032099206444171</v>
      </c>
      <c r="W38" s="16">
        <f t="shared" ref="W38:AQ38" si="46">9.81/(2*PI())*$E$9^2*TANH(2*PI()*$H38/V38)</f>
        <v>6.2411199969317428</v>
      </c>
      <c r="X38" s="16">
        <f t="shared" si="46"/>
        <v>1.5335570005141332</v>
      </c>
      <c r="Y38" s="16">
        <f t="shared" si="46"/>
        <v>4.8084739245251571</v>
      </c>
      <c r="Z38" s="16">
        <f t="shared" si="46"/>
        <v>1.9631952384510121</v>
      </c>
      <c r="AA38" s="16">
        <f t="shared" si="46"/>
        <v>4.1362997713005507</v>
      </c>
      <c r="AB38" s="16">
        <f t="shared" si="46"/>
        <v>2.2556423239008256</v>
      </c>
      <c r="AC38" s="16">
        <f t="shared" si="46"/>
        <v>3.7489527236970641</v>
      </c>
      <c r="AD38" s="16">
        <f t="shared" si="46"/>
        <v>2.4648108574449545</v>
      </c>
      <c r="AE38" s="16">
        <f t="shared" si="46"/>
        <v>3.5054980860056375</v>
      </c>
      <c r="AF38" s="16">
        <f t="shared" si="46"/>
        <v>2.6158503471935806</v>
      </c>
      <c r="AG38" s="16">
        <f t="shared" si="46"/>
        <v>3.3455053752504611</v>
      </c>
      <c r="AH38" s="16">
        <f t="shared" si="46"/>
        <v>2.724770671601807</v>
      </c>
      <c r="AI38" s="16">
        <f t="shared" si="46"/>
        <v>3.2376799873714797</v>
      </c>
      <c r="AJ38" s="16">
        <f t="shared" si="46"/>
        <v>2.8029826160596043</v>
      </c>
      <c r="AK38" s="16">
        <f t="shared" si="46"/>
        <v>3.1639075737758788</v>
      </c>
      <c r="AL38" s="16">
        <f t="shared" si="46"/>
        <v>2.8588893386895244</v>
      </c>
      <c r="AM38" s="16">
        <f t="shared" si="46"/>
        <v>3.1129561845428273</v>
      </c>
      <c r="AN38" s="16">
        <f t="shared" si="46"/>
        <v>2.8986949346407633</v>
      </c>
      <c r="AO38" s="16">
        <f t="shared" si="46"/>
        <v>3.0775524363086015</v>
      </c>
      <c r="AP38" s="16">
        <f t="shared" si="46"/>
        <v>2.9269477648373141</v>
      </c>
      <c r="AQ38" s="16">
        <f t="shared" si="46"/>
        <v>3.0528536634142327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0.90212293510787955</v>
      </c>
      <c r="J39" s="22" t="e">
        <f t="shared" si="34"/>
        <v>#DIV/0!</v>
      </c>
      <c r="K39" s="22">
        <f t="shared" si="35"/>
        <v>2.5451470265129656</v>
      </c>
      <c r="L39" s="16">
        <f t="shared" si="7"/>
        <v>1.2725735132564828</v>
      </c>
      <c r="M39" s="16">
        <f t="shared" si="8"/>
        <v>1.0299775800710409</v>
      </c>
      <c r="N39" s="16">
        <f t="shared" si="15"/>
        <v>1.3107221876464148</v>
      </c>
      <c r="O39" s="16">
        <f t="shared" si="16"/>
        <v>0.20393999999999982</v>
      </c>
      <c r="P39" s="16">
        <f t="shared" si="9"/>
        <v>2.4710703181883034</v>
      </c>
      <c r="Q39" s="16">
        <f t="shared" si="10"/>
        <v>0.14737325583706901</v>
      </c>
      <c r="R39" s="16">
        <f t="shared" si="11"/>
        <v>0.4629867378733451</v>
      </c>
      <c r="S39" s="16">
        <f t="shared" si="12"/>
        <v>6.6181256890470467E-3</v>
      </c>
      <c r="T39" s="16">
        <f t="shared" si="13"/>
        <v>0.66</v>
      </c>
      <c r="U39" s="16"/>
      <c r="V39" s="16">
        <f t="shared" si="3"/>
        <v>0.48403370546693247</v>
      </c>
      <c r="W39" s="16">
        <f t="shared" ref="W39:AQ39" si="47">9.81/(2*PI())*$E$9^2*TANH(2*PI()*$H39/V39)</f>
        <v>6.2411431604405907</v>
      </c>
      <c r="X39" s="16">
        <f t="shared" si="47"/>
        <v>1.8824444186315188</v>
      </c>
      <c r="Y39" s="16">
        <f t="shared" si="47"/>
        <v>4.8366812071131795</v>
      </c>
      <c r="Z39" s="16">
        <f t="shared" si="47"/>
        <v>2.3804162852761124</v>
      </c>
      <c r="AA39" s="16">
        <f t="shared" si="47"/>
        <v>4.2010253556522512</v>
      </c>
      <c r="AB39" s="16">
        <f t="shared" si="47"/>
        <v>2.6969130451514292</v>
      </c>
      <c r="AC39" s="16">
        <f t="shared" si="47"/>
        <v>3.8523548291744234</v>
      </c>
      <c r="AD39" s="16">
        <f t="shared" si="47"/>
        <v>2.905537517531168</v>
      </c>
      <c r="AE39" s="16">
        <f t="shared" si="47"/>
        <v>3.6459714936552281</v>
      </c>
      <c r="AF39" s="16">
        <f t="shared" si="47"/>
        <v>3.04327355383972</v>
      </c>
      <c r="AG39" s="16">
        <f t="shared" si="47"/>
        <v>3.5192730096028639</v>
      </c>
      <c r="AH39" s="16">
        <f t="shared" si="47"/>
        <v>3.1337147685107229</v>
      </c>
      <c r="AI39" s="16">
        <f t="shared" si="47"/>
        <v>3.4399852243870006</v>
      </c>
      <c r="AJ39" s="16">
        <f t="shared" si="47"/>
        <v>3.1927523175187136</v>
      </c>
      <c r="AK39" s="16">
        <f t="shared" si="47"/>
        <v>3.389831295492796</v>
      </c>
      <c r="AL39" s="16">
        <f t="shared" si="47"/>
        <v>3.2311082854085922</v>
      </c>
      <c r="AM39" s="16">
        <f t="shared" si="47"/>
        <v>3.3579066534001631</v>
      </c>
      <c r="AN39" s="16">
        <f t="shared" si="47"/>
        <v>3.255942230916042</v>
      </c>
      <c r="AO39" s="16">
        <f t="shared" si="47"/>
        <v>3.337508743059983</v>
      </c>
      <c r="AP39" s="16">
        <f t="shared" si="47"/>
        <v>3.2719831598601226</v>
      </c>
      <c r="AQ39" s="16">
        <f t="shared" si="47"/>
        <v>3.3244454366354215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0.88026436598131785</v>
      </c>
      <c r="J40" s="22" t="e">
        <f t="shared" si="34"/>
        <v>#DIV/0!</v>
      </c>
      <c r="K40" s="22">
        <f t="shared" si="35"/>
        <v>2.4909812822552673</v>
      </c>
      <c r="L40" s="16">
        <f t="shared" si="7"/>
        <v>1.2454906411276336</v>
      </c>
      <c r="M40" s="16">
        <f t="shared" si="8"/>
        <v>1.0182629779320329</v>
      </c>
      <c r="N40" s="16">
        <f t="shared" si="15"/>
        <v>1.2682370092211011</v>
      </c>
      <c r="O40" s="16">
        <f t="shared" si="16"/>
        <v>0.25014000000000003</v>
      </c>
      <c r="P40" s="16">
        <f t="shared" si="9"/>
        <v>2.446304477566438</v>
      </c>
      <c r="Q40" s="16">
        <f t="shared" si="10"/>
        <v>0.16513435912465219</v>
      </c>
      <c r="R40" s="16">
        <f t="shared" si="11"/>
        <v>0.51878488948126589</v>
      </c>
      <c r="S40" s="16">
        <f t="shared" si="12"/>
        <v>6.4802936961384488E-3</v>
      </c>
      <c r="T40" s="16">
        <f t="shared" si="13"/>
        <v>0.66</v>
      </c>
      <c r="U40" s="16"/>
      <c r="V40" s="16">
        <f t="shared" si="3"/>
        <v>0.59308576513855948</v>
      </c>
      <c r="W40" s="16">
        <f t="shared" ref="W40:AQ40" si="48">9.81/(2*PI())*$E$9^2*TANH(2*PI()*$H40/V40)</f>
        <v>6.2411762410108311</v>
      </c>
      <c r="X40" s="16">
        <f t="shared" si="48"/>
        <v>2.2736026667679541</v>
      </c>
      <c r="Y40" s="16">
        <f t="shared" si="48"/>
        <v>4.8761952260806725</v>
      </c>
      <c r="Z40" s="16">
        <f t="shared" si="48"/>
        <v>2.8285437899497481</v>
      </c>
      <c r="AA40" s="16">
        <f t="shared" si="48"/>
        <v>4.2892912273402004</v>
      </c>
      <c r="AB40" s="16">
        <f t="shared" si="48"/>
        <v>3.1500502330783431</v>
      </c>
      <c r="AC40" s="16">
        <f t="shared" si="48"/>
        <v>3.9887974240732955</v>
      </c>
      <c r="AD40" s="16">
        <f t="shared" si="48"/>
        <v>3.3406669788135823</v>
      </c>
      <c r="AE40" s="16">
        <f t="shared" si="48"/>
        <v>3.8248866535178285</v>
      </c>
      <c r="AF40" s="16">
        <f t="shared" si="48"/>
        <v>3.453162657732173</v>
      </c>
      <c r="AG40" s="16">
        <f t="shared" si="48"/>
        <v>3.7329664121804984</v>
      </c>
      <c r="AH40" s="16">
        <f t="shared" si="48"/>
        <v>3.5190704110446558</v>
      </c>
      <c r="AI40" s="16">
        <f t="shared" si="48"/>
        <v>3.6807241125789134</v>
      </c>
      <c r="AJ40" s="16">
        <f t="shared" si="48"/>
        <v>3.5574656538550862</v>
      </c>
      <c r="AK40" s="16">
        <f t="shared" si="48"/>
        <v>3.65082746887694</v>
      </c>
      <c r="AL40" s="16">
        <f t="shared" si="48"/>
        <v>3.5797496883430182</v>
      </c>
      <c r="AM40" s="16">
        <f t="shared" si="48"/>
        <v>3.6336551579932914</v>
      </c>
      <c r="AN40" s="16">
        <f t="shared" si="48"/>
        <v>3.592653107861461</v>
      </c>
      <c r="AO40" s="16">
        <f t="shared" si="48"/>
        <v>3.623771387777992</v>
      </c>
      <c r="AP40" s="16">
        <f t="shared" si="48"/>
        <v>3.600114382021105</v>
      </c>
      <c r="AQ40" s="16">
        <f t="shared" si="48"/>
        <v>3.6180760995624439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0.88026436598131785</v>
      </c>
      <c r="J41" s="22" t="e">
        <f t="shared" si="34"/>
        <v>#DIV/0!</v>
      </c>
      <c r="K41" s="22">
        <f t="shared" si="35"/>
        <v>2.5364740184422021</v>
      </c>
      <c r="L41" s="16">
        <f t="shared" si="7"/>
        <v>1.2682370092211011</v>
      </c>
      <c r="M41" s="16">
        <f t="shared" si="8"/>
        <v>1.0355867970068062</v>
      </c>
      <c r="N41" s="16">
        <f t="shared" si="15"/>
        <v>1.3133695022247713</v>
      </c>
      <c r="O41" s="16">
        <f t="shared" si="16"/>
        <v>0.25014000000000003</v>
      </c>
      <c r="P41" s="16">
        <f t="shared" si="9"/>
        <v>2.4493108890278092</v>
      </c>
      <c r="Q41" s="16">
        <f t="shared" si="10"/>
        <v>0.2025434372435056</v>
      </c>
      <c r="R41" s="16">
        <f t="shared" si="11"/>
        <v>0.6363089744770225</v>
      </c>
      <c r="S41" s="16">
        <f t="shared" si="12"/>
        <v>6.2473035703311764E-3</v>
      </c>
      <c r="T41" s="16">
        <f t="shared" si="13"/>
        <v>0.66</v>
      </c>
      <c r="U41" s="16"/>
      <c r="V41" s="16">
        <f t="shared" ref="V41:V72" si="50">9.81/(2*PI())*$E$9^2*TANH(2*PI()*$H41/I$4)</f>
        <v>0.59308576513855948</v>
      </c>
      <c r="W41" s="16">
        <f t="shared" ref="W41:AQ41" si="51">9.81/(2*PI())*$E$9^2*TANH(2*PI()*$H41/V41)</f>
        <v>6.2411762410108311</v>
      </c>
      <c r="X41" s="16">
        <f t="shared" si="51"/>
        <v>2.2736026667679541</v>
      </c>
      <c r="Y41" s="16">
        <f t="shared" si="51"/>
        <v>4.8761952260806725</v>
      </c>
      <c r="Z41" s="16">
        <f t="shared" si="51"/>
        <v>2.8285437899497481</v>
      </c>
      <c r="AA41" s="16">
        <f t="shared" si="51"/>
        <v>4.2892912273402004</v>
      </c>
      <c r="AB41" s="16">
        <f t="shared" si="51"/>
        <v>3.1500502330783431</v>
      </c>
      <c r="AC41" s="16">
        <f t="shared" si="51"/>
        <v>3.9887974240732955</v>
      </c>
      <c r="AD41" s="16">
        <f t="shared" si="51"/>
        <v>3.3406669788135823</v>
      </c>
      <c r="AE41" s="16">
        <f t="shared" si="51"/>
        <v>3.8248866535178285</v>
      </c>
      <c r="AF41" s="16">
        <f t="shared" si="51"/>
        <v>3.453162657732173</v>
      </c>
      <c r="AG41" s="16">
        <f t="shared" si="51"/>
        <v>3.7329664121804984</v>
      </c>
      <c r="AH41" s="16">
        <f t="shared" si="51"/>
        <v>3.5190704110446558</v>
      </c>
      <c r="AI41" s="16">
        <f t="shared" si="51"/>
        <v>3.6807241125789134</v>
      </c>
      <c r="AJ41" s="16">
        <f t="shared" si="51"/>
        <v>3.5574656538550862</v>
      </c>
      <c r="AK41" s="16">
        <f t="shared" si="51"/>
        <v>3.65082746887694</v>
      </c>
      <c r="AL41" s="16">
        <f t="shared" si="51"/>
        <v>3.5797496883430182</v>
      </c>
      <c r="AM41" s="16">
        <f t="shared" si="51"/>
        <v>3.6336551579932914</v>
      </c>
      <c r="AN41" s="16">
        <f t="shared" si="51"/>
        <v>3.592653107861461</v>
      </c>
      <c r="AO41" s="16">
        <f t="shared" si="51"/>
        <v>3.623771387777992</v>
      </c>
      <c r="AP41" s="16">
        <f t="shared" si="51"/>
        <v>3.600114382021105</v>
      </c>
      <c r="AQ41" s="16">
        <f t="shared" si="51"/>
        <v>3.6180760995624439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0.89891910753422377</v>
      </c>
      <c r="J42" s="22" t="e">
        <f t="shared" si="34"/>
        <v>#DIV/0!</v>
      </c>
      <c r="K42" s="22">
        <f t="shared" si="35"/>
        <v>2.7423889776051502</v>
      </c>
      <c r="L42" s="16">
        <f t="shared" si="7"/>
        <v>1.3711944888025751</v>
      </c>
      <c r="M42" s="16">
        <f t="shared" ref="M42:M73" si="52">1/(1+((64*PI()^3)/(3*9.81^2))*((S42*L41*(A42-A41))/(H42^2))*((H42^2)/($E$9^4))*(((L42/L41)^2)/(SINH(2*PI()*H42/AQ41))^3))</f>
        <v>1.0631669006839215</v>
      </c>
      <c r="N42" s="16">
        <f t="shared" si="15"/>
        <v>1.4578085948951078</v>
      </c>
      <c r="O42" s="16">
        <f t="shared" si="16"/>
        <v>0.21053999999999998</v>
      </c>
      <c r="P42" s="16">
        <f t="shared" si="9"/>
        <v>2.5794529305238969</v>
      </c>
      <c r="Q42" s="16">
        <f t="shared" ref="Q42:Q73" si="53">($E$9*R42)/(2*PI())</f>
        <v>0.22077121070425126</v>
      </c>
      <c r="R42" s="16">
        <f t="shared" si="11"/>
        <v>0.69357321367260005</v>
      </c>
      <c r="S42" s="16">
        <f t="shared" si="12"/>
        <v>6.154169219405971E-3</v>
      </c>
      <c r="T42" s="16">
        <f t="shared" si="13"/>
        <v>0.66</v>
      </c>
      <c r="U42" s="16"/>
      <c r="V42" s="16">
        <f t="shared" si="50"/>
        <v>0.49963234931096734</v>
      </c>
      <c r="W42" s="16">
        <f t="shared" ref="W42:AQ42" si="54">9.81/(2*PI())*$E$9^2*TANH(2*PI()*$H42/V42)</f>
        <v>6.2411474900817012</v>
      </c>
      <c r="X42" s="16">
        <f t="shared" si="54"/>
        <v>1.9394291100397114</v>
      </c>
      <c r="Y42" s="16">
        <f t="shared" si="54"/>
        <v>4.8419041653474304</v>
      </c>
      <c r="Z42" s="16">
        <f t="shared" si="54"/>
        <v>2.4470514551232672</v>
      </c>
      <c r="AA42" s="16">
        <f t="shared" si="54"/>
        <v>4.2128514321086259</v>
      </c>
      <c r="AB42" s="16">
        <f t="shared" si="54"/>
        <v>2.7656872045997964</v>
      </c>
      <c r="AC42" s="16">
        <f t="shared" si="54"/>
        <v>3.8709348605803333</v>
      </c>
      <c r="AD42" s="16">
        <f t="shared" si="54"/>
        <v>2.9726934911961869</v>
      </c>
      <c r="AE42" s="16">
        <f t="shared" si="54"/>
        <v>3.6707524054456013</v>
      </c>
      <c r="AF42" s="16">
        <f t="shared" si="54"/>
        <v>3.1072434557504964</v>
      </c>
      <c r="AG42" s="16">
        <f t="shared" si="54"/>
        <v>3.5493580408765877</v>
      </c>
      <c r="AH42" s="16">
        <f t="shared" si="54"/>
        <v>3.1941850843257593</v>
      </c>
      <c r="AI42" s="16">
        <f t="shared" si="54"/>
        <v>3.4743838821934241</v>
      </c>
      <c r="AJ42" s="16">
        <f t="shared" si="54"/>
        <v>3.250029692598893</v>
      </c>
      <c r="AK42" s="16">
        <f t="shared" si="54"/>
        <v>3.4276087888215638</v>
      </c>
      <c r="AL42" s="16">
        <f t="shared" si="54"/>
        <v>3.2857337109407379</v>
      </c>
      <c r="AM42" s="16">
        <f t="shared" si="54"/>
        <v>3.39825588201639</v>
      </c>
      <c r="AN42" s="16">
        <f t="shared" si="54"/>
        <v>3.3084860209025635</v>
      </c>
      <c r="AO42" s="16">
        <f t="shared" si="54"/>
        <v>3.3797719350827427</v>
      </c>
      <c r="AP42" s="16">
        <f t="shared" si="54"/>
        <v>3.3229527381215398</v>
      </c>
      <c r="AQ42" s="16">
        <f t="shared" si="54"/>
        <v>3.3681077579781005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0.94377973521332348</v>
      </c>
      <c r="J43" s="22" t="e">
        <f t="shared" si="34"/>
        <v>#DIV/0!</v>
      </c>
      <c r="K43" s="22">
        <f t="shared" si="35"/>
        <v>3.3232477683480055</v>
      </c>
      <c r="L43" s="16">
        <f t="shared" si="7"/>
        <v>1.6616238841740028</v>
      </c>
      <c r="M43" s="16">
        <f t="shared" si="52"/>
        <v>1.2900921296501453</v>
      </c>
      <c r="N43" s="16">
        <f t="shared" si="15"/>
        <v>2.1436478954115854</v>
      </c>
      <c r="O43" s="16">
        <f t="shared" si="16"/>
        <v>0.12474000000000005</v>
      </c>
      <c r="P43" s="16">
        <f t="shared" si="9"/>
        <v>2.575977088744215</v>
      </c>
      <c r="Q43" s="16">
        <f t="shared" si="53"/>
        <v>0.241411720858105</v>
      </c>
      <c r="R43" s="16">
        <f t="shared" si="11"/>
        <v>0.75841728873829251</v>
      </c>
      <c r="S43" s="16">
        <f t="shared" si="12"/>
        <v>6.0606401727559683E-3</v>
      </c>
      <c r="T43" s="16">
        <f t="shared" si="13"/>
        <v>0.66</v>
      </c>
      <c r="U43" s="16"/>
      <c r="V43" s="16">
        <f t="shared" si="50"/>
        <v>0.29643148408140724</v>
      </c>
      <c r="W43" s="16">
        <f t="shared" ref="W43:AQ43" si="55">9.81/(2*PI())*$E$9^2*TANH(2*PI()*$H43/V43)</f>
        <v>6.2411017185353028</v>
      </c>
      <c r="X43" s="16">
        <f t="shared" si="55"/>
        <v>1.1741734452161563</v>
      </c>
      <c r="Y43" s="16">
        <f t="shared" si="55"/>
        <v>4.7858987814643408</v>
      </c>
      <c r="Z43" s="16">
        <f t="shared" si="55"/>
        <v>1.518589011071892</v>
      </c>
      <c r="AA43" s="16">
        <f t="shared" si="55"/>
        <v>4.083435526082547</v>
      </c>
      <c r="AB43" s="16">
        <f t="shared" si="55"/>
        <v>1.7666800395158648</v>
      </c>
      <c r="AC43" s="16">
        <f t="shared" si="55"/>
        <v>3.6622724852707487</v>
      </c>
      <c r="AD43" s="16">
        <f t="shared" si="55"/>
        <v>1.9569593845438755</v>
      </c>
      <c r="AE43" s="16">
        <f t="shared" si="55"/>
        <v>3.384200093156152</v>
      </c>
      <c r="AF43" s="16">
        <f t="shared" si="55"/>
        <v>2.1057393815352716</v>
      </c>
      <c r="AG43" s="16">
        <f t="shared" si="55"/>
        <v>3.1906861182325863</v>
      </c>
      <c r="AH43" s="16">
        <f t="shared" si="55"/>
        <v>2.2226838673704954</v>
      </c>
      <c r="AI43" s="16">
        <f t="shared" si="55"/>
        <v>3.0516822652673348</v>
      </c>
      <c r="AJ43" s="16">
        <f t="shared" si="55"/>
        <v>2.3145850741670633</v>
      </c>
      <c r="AK43" s="16">
        <f t="shared" si="55"/>
        <v>2.9497911411409898</v>
      </c>
      <c r="AL43" s="16">
        <f t="shared" si="55"/>
        <v>2.3866367307053902</v>
      </c>
      <c r="AM43" s="16">
        <f t="shared" si="55"/>
        <v>2.8740906369279897</v>
      </c>
      <c r="AN43" s="16">
        <f t="shared" si="55"/>
        <v>2.4429567062196615</v>
      </c>
      <c r="AO43" s="16">
        <f t="shared" si="55"/>
        <v>2.8173265791941344</v>
      </c>
      <c r="AP43" s="16">
        <f t="shared" si="55"/>
        <v>2.4868482114002441</v>
      </c>
      <c r="AQ43" s="16">
        <f t="shared" si="55"/>
        <v>2.7744852997016083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0.97836535062695629</v>
      </c>
      <c r="J44" s="22" t="e">
        <f t="shared" si="34"/>
        <v>#DIV/0!</v>
      </c>
      <c r="K44" s="22">
        <f t="shared" si="35"/>
        <v>5.0395307552235167</v>
      </c>
      <c r="L44" s="16">
        <f t="shared" si="7"/>
        <v>2.5197653776117583</v>
      </c>
      <c r="M44" s="16">
        <f t="shared" si="52"/>
        <v>-0.38984201506607957</v>
      </c>
      <c r="N44" s="16">
        <f t="shared" si="15"/>
        <v>-0.98231041230190874</v>
      </c>
      <c r="O44" s="16">
        <f t="shared" si="16"/>
        <v>-0.98231041230190874</v>
      </c>
      <c r="P44" s="16">
        <f t="shared" si="9"/>
        <v>-12.927110368976773</v>
      </c>
      <c r="Q44" s="16">
        <f t="shared" si="53"/>
        <v>0.1976254071813186</v>
      </c>
      <c r="R44" s="16">
        <f t="shared" si="11"/>
        <v>0.62085852736352209</v>
      </c>
      <c r="S44" s="16">
        <f t="shared" si="12"/>
        <v>6.2744194718846458E-3</v>
      </c>
      <c r="T44" s="16">
        <f t="shared" si="13"/>
        <v>-9.9223273969890009</v>
      </c>
      <c r="U44" s="16"/>
      <c r="V44" s="16">
        <f t="shared" si="50"/>
        <v>0.1553583413296292</v>
      </c>
      <c r="W44" s="16">
        <f t="shared" ref="W44:AQ44" si="56">9.81/(2*PI())*$E$9^2*TANH(2*PI()*$H44/V44)</f>
        <v>6.2410836071337634</v>
      </c>
      <c r="X44" s="16">
        <f t="shared" si="56"/>
        <v>0.6203966861184429</v>
      </c>
      <c r="Y44" s="16">
        <f t="shared" si="56"/>
        <v>4.7632520695063851</v>
      </c>
      <c r="Z44" s="16">
        <f t="shared" si="56"/>
        <v>0.81096405441384545</v>
      </c>
      <c r="AA44" s="16">
        <f t="shared" si="56"/>
        <v>4.0294305169326377</v>
      </c>
      <c r="AB44" s="16">
        <f t="shared" si="56"/>
        <v>0.95651037076871448</v>
      </c>
      <c r="AC44" s="16">
        <f t="shared" si="56"/>
        <v>3.5715503436135219</v>
      </c>
      <c r="AD44" s="16">
        <f t="shared" si="56"/>
        <v>1.0768298112517465</v>
      </c>
      <c r="AE44" s="16">
        <f t="shared" si="56"/>
        <v>3.2535103403573711</v>
      </c>
      <c r="AF44" s="16">
        <f t="shared" si="56"/>
        <v>1.1796822750081484</v>
      </c>
      <c r="AG44" s="16">
        <f t="shared" si="56"/>
        <v>3.0183698791467566</v>
      </c>
      <c r="AH44" s="16">
        <f t="shared" si="56"/>
        <v>1.2691230733546339</v>
      </c>
      <c r="AI44" s="16">
        <f t="shared" si="56"/>
        <v>2.8373351696738194</v>
      </c>
      <c r="AJ44" s="16">
        <f t="shared" si="56"/>
        <v>1.3476364306447495</v>
      </c>
      <c r="AK44" s="16">
        <f t="shared" si="56"/>
        <v>2.6939907162155423</v>
      </c>
      <c r="AL44" s="16">
        <f t="shared" si="56"/>
        <v>1.4169181371880137</v>
      </c>
      <c r="AM44" s="16">
        <f t="shared" si="56"/>
        <v>2.5781602806671575</v>
      </c>
      <c r="AN44" s="16">
        <f t="shared" si="56"/>
        <v>1.4782227917295245</v>
      </c>
      <c r="AO44" s="16">
        <f t="shared" si="56"/>
        <v>2.4831306195548786</v>
      </c>
      <c r="AP44" s="16">
        <f t="shared" si="56"/>
        <v>1.5325370643394618</v>
      </c>
      <c r="AQ44" s="16">
        <f t="shared" si="56"/>
        <v>2.4042547608832279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0.97465276024769021</v>
      </c>
      <c r="J45" s="22" t="e">
        <f t="shared" si="34"/>
        <v>#DIV/0!</v>
      </c>
      <c r="K45" s="22">
        <f t="shared" si="35"/>
        <v>-1.9179218961001159</v>
      </c>
      <c r="L45" s="16">
        <f t="shared" si="7"/>
        <v>-0.95896094805005794</v>
      </c>
      <c r="M45" s="16" t="e">
        <f t="shared" si="52"/>
        <v>#NUM!</v>
      </c>
      <c r="N45" s="16" t="e">
        <f t="shared" si="15"/>
        <v>#NUM!</v>
      </c>
      <c r="O45" s="16" t="e">
        <f t="shared" si="16"/>
        <v>#NUM!</v>
      </c>
      <c r="P45" s="16" t="e">
        <f t="shared" si="9"/>
        <v>#NUM!</v>
      </c>
      <c r="Q45" s="16">
        <f t="shared" si="53"/>
        <v>-1.4831672727956662</v>
      </c>
      <c r="R45" s="16">
        <f t="shared" si="11"/>
        <v>-4.6595074082596737</v>
      </c>
      <c r="S45" s="16" t="e">
        <f t="shared" si="12"/>
        <v>#NUM!</v>
      </c>
      <c r="T45" s="16" t="e">
        <f t="shared" si="13"/>
        <v>#NUM!</v>
      </c>
      <c r="U45" s="16"/>
      <c r="V45" s="16">
        <f t="shared" si="50"/>
        <v>0.17104361450126784</v>
      </c>
      <c r="W45" s="16">
        <f t="shared" ref="W45:AQ45" si="57">9.81/(2*PI())*$E$9^2*TANH(2*PI()*$H45/V45)</f>
        <v>6.2410850635836281</v>
      </c>
      <c r="X45" s="16">
        <f t="shared" si="57"/>
        <v>0.68258547530918079</v>
      </c>
      <c r="Y45" s="16">
        <f t="shared" si="57"/>
        <v>4.7650835057313907</v>
      </c>
      <c r="Z45" s="16">
        <f t="shared" si="57"/>
        <v>0.89147439507726423</v>
      </c>
      <c r="AA45" s="16">
        <f t="shared" si="57"/>
        <v>4.0338346592239596</v>
      </c>
      <c r="AB45" s="16">
        <f t="shared" si="57"/>
        <v>1.0502491269133254</v>
      </c>
      <c r="AC45" s="16">
        <f t="shared" si="57"/>
        <v>3.5790334283551042</v>
      </c>
      <c r="AD45" s="16">
        <f t="shared" si="57"/>
        <v>1.1806841574420457</v>
      </c>
      <c r="AE45" s="16">
        <f t="shared" si="57"/>
        <v>3.2644416276434693</v>
      </c>
      <c r="AF45" s="16">
        <f t="shared" si="57"/>
        <v>1.2913366862969549</v>
      </c>
      <c r="AG45" s="16">
        <f t="shared" si="57"/>
        <v>3.0330170468905182</v>
      </c>
      <c r="AH45" s="16">
        <f t="shared" si="57"/>
        <v>1.3867112387213492</v>
      </c>
      <c r="AI45" s="16">
        <f t="shared" si="57"/>
        <v>2.8558827235146791</v>
      </c>
      <c r="AJ45" s="16">
        <f t="shared" si="57"/>
        <v>1.4696024190780694</v>
      </c>
      <c r="AK45" s="16">
        <f t="shared" si="57"/>
        <v>2.7165522740493722</v>
      </c>
      <c r="AL45" s="16">
        <f t="shared" si="57"/>
        <v>1.5419503727231607</v>
      </c>
      <c r="AM45" s="16">
        <f t="shared" si="57"/>
        <v>2.6047882963464826</v>
      </c>
      <c r="AN45" s="16">
        <f t="shared" si="57"/>
        <v>1.6052171689874495</v>
      </c>
      <c r="AO45" s="16">
        <f t="shared" si="57"/>
        <v>2.513824896693682</v>
      </c>
      <c r="AP45" s="16">
        <f t="shared" si="57"/>
        <v>1.6605722799413889</v>
      </c>
      <c r="AQ45" s="16">
        <f t="shared" si="57"/>
        <v>2.4389702754327183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0.97836535062695629</v>
      </c>
      <c r="J46" s="22" t="e">
        <f t="shared" si="34"/>
        <v>#NUM!</v>
      </c>
      <c r="K46" s="22" t="e">
        <f t="shared" si="35"/>
        <v>#NUM!</v>
      </c>
      <c r="L46" s="16" t="e">
        <f t="shared" si="7"/>
        <v>#NUM!</v>
      </c>
      <c r="M46" s="16" t="e">
        <f t="shared" si="52"/>
        <v>#NUM!</v>
      </c>
      <c r="N46" s="16" t="e">
        <f t="shared" si="15"/>
        <v>#NUM!</v>
      </c>
      <c r="O46" s="16" t="e">
        <f t="shared" si="16"/>
        <v>#NUM!</v>
      </c>
      <c r="P46" s="16" t="e">
        <f t="shared" si="9"/>
        <v>#NUM!</v>
      </c>
      <c r="Q46" s="16" t="e">
        <f t="shared" si="53"/>
        <v>#NUM!</v>
      </c>
      <c r="R46" s="16" t="e">
        <f t="shared" si="11"/>
        <v>#NUM!</v>
      </c>
      <c r="S46" s="16" t="e">
        <f t="shared" si="12"/>
        <v>#NUM!</v>
      </c>
      <c r="T46" s="16" t="e">
        <f t="shared" si="13"/>
        <v>#NUM!</v>
      </c>
      <c r="U46" s="16"/>
      <c r="V46" s="16">
        <f t="shared" si="50"/>
        <v>0.1553583413296292</v>
      </c>
      <c r="W46" s="16">
        <f t="shared" ref="W46:AQ46" si="58">9.81/(2*PI())*$E$9^2*TANH(2*PI()*$H46/V46)</f>
        <v>6.2410836071337634</v>
      </c>
      <c r="X46" s="16">
        <f t="shared" si="58"/>
        <v>0.6203966861184429</v>
      </c>
      <c r="Y46" s="16">
        <f t="shared" si="58"/>
        <v>4.7632520695063851</v>
      </c>
      <c r="Z46" s="16">
        <f t="shared" si="58"/>
        <v>0.81096405441384545</v>
      </c>
      <c r="AA46" s="16">
        <f t="shared" si="58"/>
        <v>4.0294305169326377</v>
      </c>
      <c r="AB46" s="16">
        <f t="shared" si="58"/>
        <v>0.95651037076871448</v>
      </c>
      <c r="AC46" s="16">
        <f t="shared" si="58"/>
        <v>3.5715503436135219</v>
      </c>
      <c r="AD46" s="16">
        <f t="shared" si="58"/>
        <v>1.0768298112517465</v>
      </c>
      <c r="AE46" s="16">
        <f t="shared" si="58"/>
        <v>3.2535103403573711</v>
      </c>
      <c r="AF46" s="16">
        <f t="shared" si="58"/>
        <v>1.1796822750081484</v>
      </c>
      <c r="AG46" s="16">
        <f t="shared" si="58"/>
        <v>3.0183698791467566</v>
      </c>
      <c r="AH46" s="16">
        <f t="shared" si="58"/>
        <v>1.2691230733546339</v>
      </c>
      <c r="AI46" s="16">
        <f t="shared" si="58"/>
        <v>2.8373351696738194</v>
      </c>
      <c r="AJ46" s="16">
        <f t="shared" si="58"/>
        <v>1.3476364306447495</v>
      </c>
      <c r="AK46" s="16">
        <f t="shared" si="58"/>
        <v>2.6939907162155423</v>
      </c>
      <c r="AL46" s="16">
        <f t="shared" si="58"/>
        <v>1.4169181371880137</v>
      </c>
      <c r="AM46" s="16">
        <f t="shared" si="58"/>
        <v>2.5781602806671575</v>
      </c>
      <c r="AN46" s="16">
        <f t="shared" si="58"/>
        <v>1.4782227917295245</v>
      </c>
      <c r="AO46" s="16">
        <f t="shared" si="58"/>
        <v>2.4831306195548786</v>
      </c>
      <c r="AP46" s="16">
        <f t="shared" si="58"/>
        <v>1.5325370643394618</v>
      </c>
      <c r="AQ46" s="16">
        <f t="shared" si="58"/>
        <v>2.4042547608832279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0.99392775979121284</v>
      </c>
      <c r="J47" s="22" t="e">
        <f t="shared" si="34"/>
        <v>#NUM!</v>
      </c>
      <c r="K47" s="22" t="e">
        <f t="shared" si="35"/>
        <v>#NUM!</v>
      </c>
      <c r="L47" s="16" t="e">
        <f t="shared" si="7"/>
        <v>#NUM!</v>
      </c>
      <c r="M47" s="16" t="e">
        <f t="shared" si="52"/>
        <v>#NUM!</v>
      </c>
      <c r="N47" s="16" t="e">
        <f t="shared" si="15"/>
        <v>#NUM!</v>
      </c>
      <c r="O47" s="16" t="e">
        <f t="shared" si="16"/>
        <v>#NUM!</v>
      </c>
      <c r="P47" s="16" t="e">
        <f t="shared" si="9"/>
        <v>#NUM!</v>
      </c>
      <c r="Q47" s="16" t="e">
        <f t="shared" si="53"/>
        <v>#NUM!</v>
      </c>
      <c r="R47" s="16" t="e">
        <f t="shared" si="11"/>
        <v>#NUM!</v>
      </c>
      <c r="S47" s="16" t="e">
        <f t="shared" si="12"/>
        <v>#NUM!</v>
      </c>
      <c r="T47" s="16" t="e">
        <f t="shared" si="13"/>
        <v>#NUM!</v>
      </c>
      <c r="U47" s="16"/>
      <c r="V47" s="16">
        <f t="shared" si="50"/>
        <v>7.690651215135412E-2</v>
      </c>
      <c r="W47" s="16">
        <f t="shared" ref="W47:AQ47" si="59">9.81/(2*PI())*$E$9^2*TANH(2*PI()*$H47/V47)</f>
        <v>6.2410784211871153</v>
      </c>
      <c r="X47" s="16">
        <f t="shared" si="59"/>
        <v>0.3078317085096286</v>
      </c>
      <c r="Y47" s="16">
        <f t="shared" si="59"/>
        <v>4.7567162818785578</v>
      </c>
      <c r="Z47" s="16">
        <f t="shared" si="59"/>
        <v>0.40365651360960519</v>
      </c>
      <c r="AA47" s="16">
        <f t="shared" si="59"/>
        <v>4.0136603272966385</v>
      </c>
      <c r="AB47" s="16">
        <f t="shared" si="59"/>
        <v>0.4781166173152207</v>
      </c>
      <c r="AC47" s="16">
        <f t="shared" si="59"/>
        <v>3.5446294105895655</v>
      </c>
      <c r="AD47" s="16">
        <f t="shared" si="59"/>
        <v>0.54108317930866423</v>
      </c>
      <c r="AE47" s="16">
        <f t="shared" si="59"/>
        <v>3.2139513500065804</v>
      </c>
      <c r="AF47" s="16">
        <f t="shared" si="59"/>
        <v>0.59643098103350412</v>
      </c>
      <c r="AG47" s="16">
        <f t="shared" si="59"/>
        <v>2.9649887182341117</v>
      </c>
      <c r="AH47" s="16">
        <f t="shared" si="59"/>
        <v>0.64616744078705624</v>
      </c>
      <c r="AI47" s="16">
        <f t="shared" si="59"/>
        <v>2.7691892014941173</v>
      </c>
      <c r="AJ47" s="16">
        <f t="shared" si="59"/>
        <v>0.69149362899530409</v>
      </c>
      <c r="AK47" s="16">
        <f t="shared" si="59"/>
        <v>2.6103417666360897</v>
      </c>
      <c r="AL47" s="16">
        <f t="shared" si="59"/>
        <v>0.73319652782164602</v>
      </c>
      <c r="AM47" s="16">
        <f t="shared" si="59"/>
        <v>2.4784488648444278</v>
      </c>
      <c r="AN47" s="16">
        <f t="shared" si="59"/>
        <v>0.77182575933363484</v>
      </c>
      <c r="AO47" s="16">
        <f t="shared" si="59"/>
        <v>2.3669558143721892</v>
      </c>
      <c r="AP47" s="16">
        <f t="shared" si="59"/>
        <v>0.8077840853699676</v>
      </c>
      <c r="AQ47" s="16">
        <f t="shared" si="59"/>
        <v>2.2713571368963992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#NUM!</v>
      </c>
      <c r="M48" s="16" t="e">
        <f t="shared" si="52"/>
        <v>#NUM!</v>
      </c>
      <c r="N48" s="16" t="e">
        <f t="shared" si="15"/>
        <v>#NUM!</v>
      </c>
      <c r="O48" s="16" t="e">
        <f t="shared" si="16"/>
        <v>#NUM!</v>
      </c>
      <c r="P48" s="16" t="e">
        <f t="shared" si="9"/>
        <v>#VALUE!</v>
      </c>
      <c r="Q48" s="16" t="e">
        <f t="shared" si="53"/>
        <v>#NUM!</v>
      </c>
      <c r="R48" s="16" t="e">
        <f t="shared" si="11"/>
        <v>#NUM!</v>
      </c>
      <c r="S48" s="16" t="e">
        <f t="shared" si="12"/>
        <v>#NUM!</v>
      </c>
      <c r="T48" s="16" t="e">
        <f t="shared" si="13"/>
        <v>#NUM!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0.99978500697042882</v>
      </c>
      <c r="J49" s="22" t="e">
        <f t="shared" si="34"/>
        <v>#NUM!</v>
      </c>
      <c r="K49" s="22" t="e">
        <f t="shared" si="35"/>
        <v>#NUM!</v>
      </c>
      <c r="L49" s="16" t="e">
        <f t="shared" si="7"/>
        <v>#NUM!</v>
      </c>
      <c r="M49" s="16" t="e">
        <f t="shared" si="52"/>
        <v>#NUM!</v>
      </c>
      <c r="N49" s="16" t="e">
        <f t="shared" si="15"/>
        <v>#NUM!</v>
      </c>
      <c r="O49" s="16" t="e">
        <f t="shared" si="16"/>
        <v>#NUM!</v>
      </c>
      <c r="P49" s="16" t="e">
        <f t="shared" si="9"/>
        <v>#NUM!</v>
      </c>
      <c r="Q49" s="16" t="e">
        <f t="shared" si="53"/>
        <v>#NUM!</v>
      </c>
      <c r="R49" s="16" t="e">
        <f t="shared" si="11"/>
        <v>#NUM!</v>
      </c>
      <c r="S49" s="16" t="e">
        <f t="shared" si="12"/>
        <v>#NUM!</v>
      </c>
      <c r="T49" s="16" t="e">
        <f t="shared" si="13"/>
        <v>#NUM!</v>
      </c>
      <c r="U49" s="16"/>
      <c r="V49" s="16">
        <f t="shared" si="50"/>
        <v>1.41263759079311E-2</v>
      </c>
      <c r="W49" s="16">
        <f t="shared" ref="W49:AQ49" si="61">9.81/(2*PI())*$E$9^2*TANH(2*PI()*$H49/V49)</f>
        <v>6.2410767939246652</v>
      </c>
      <c r="X49" s="16">
        <f t="shared" si="61"/>
        <v>5.6584840654027489E-2</v>
      </c>
      <c r="Y49" s="16">
        <f t="shared" si="61"/>
        <v>4.7546607462994688</v>
      </c>
      <c r="Z49" s="16">
        <f t="shared" si="61"/>
        <v>7.4273090802136316E-2</v>
      </c>
      <c r="AA49" s="16">
        <f t="shared" si="61"/>
        <v>4.0086832660654004</v>
      </c>
      <c r="AB49" s="16">
        <f t="shared" si="61"/>
        <v>8.8092910510229883E-2</v>
      </c>
      <c r="AC49" s="16">
        <f t="shared" si="61"/>
        <v>3.5360920584913993</v>
      </c>
      <c r="AD49" s="16">
        <f t="shared" si="61"/>
        <v>9.9864452507688883E-2</v>
      </c>
      <c r="AE49" s="16">
        <f t="shared" si="61"/>
        <v>3.20132906826049</v>
      </c>
      <c r="AF49" s="16">
        <f t="shared" si="61"/>
        <v>0.11030520946682153</v>
      </c>
      <c r="AG49" s="16">
        <f t="shared" si="61"/>
        <v>2.9478302348320939</v>
      </c>
      <c r="AH49" s="16">
        <f t="shared" si="61"/>
        <v>0.11978867780147463</v>
      </c>
      <c r="AI49" s="16">
        <f t="shared" si="61"/>
        <v>2.747096811061517</v>
      </c>
      <c r="AJ49" s="16">
        <f t="shared" si="61"/>
        <v>0.12853938188909261</v>
      </c>
      <c r="AK49" s="16">
        <f t="shared" si="61"/>
        <v>2.5829600176656777</v>
      </c>
      <c r="AL49" s="16">
        <f t="shared" si="61"/>
        <v>0.13670501476984359</v>
      </c>
      <c r="AM49" s="16">
        <f t="shared" si="61"/>
        <v>2.4454574009033161</v>
      </c>
      <c r="AN49" s="16">
        <f t="shared" si="61"/>
        <v>0.14438896640104287</v>
      </c>
      <c r="AO49" s="16">
        <f t="shared" si="61"/>
        <v>2.3280645054703863</v>
      </c>
      <c r="AP49" s="16">
        <f t="shared" si="61"/>
        <v>0.15166700077345169</v>
      </c>
      <c r="AQ49" s="16">
        <f t="shared" si="61"/>
        <v>2.2263025805369643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0.99978500697042882</v>
      </c>
      <c r="J50" s="22" t="e">
        <f t="shared" si="34"/>
        <v>#NUM!</v>
      </c>
      <c r="K50" s="22" t="e">
        <f t="shared" si="35"/>
        <v>#NUM!</v>
      </c>
      <c r="L50" s="16" t="e">
        <f t="shared" si="7"/>
        <v>#NUM!</v>
      </c>
      <c r="M50" s="16" t="e">
        <f t="shared" si="52"/>
        <v>#NUM!</v>
      </c>
      <c r="N50" s="16" t="e">
        <f t="shared" si="15"/>
        <v>#NUM!</v>
      </c>
      <c r="O50" s="16" t="e">
        <f t="shared" si="16"/>
        <v>#NUM!</v>
      </c>
      <c r="P50" s="16" t="e">
        <f t="shared" si="9"/>
        <v>#NUM!</v>
      </c>
      <c r="Q50" s="16" t="e">
        <f t="shared" si="53"/>
        <v>#NUM!</v>
      </c>
      <c r="R50" s="16" t="e">
        <f t="shared" si="11"/>
        <v>#NUM!</v>
      </c>
      <c r="S50" s="16" t="e">
        <f t="shared" si="12"/>
        <v>#NUM!</v>
      </c>
      <c r="T50" s="16" t="e">
        <f t="shared" si="13"/>
        <v>#NUM!</v>
      </c>
      <c r="U50" s="16"/>
      <c r="V50" s="16">
        <f t="shared" si="50"/>
        <v>1.41263759079311E-2</v>
      </c>
      <c r="W50" s="16">
        <f t="shared" ref="W50:AQ50" si="62">9.81/(2*PI())*$E$9^2*TANH(2*PI()*$H50/V50)</f>
        <v>6.2410767939246652</v>
      </c>
      <c r="X50" s="16">
        <f t="shared" si="62"/>
        <v>5.6584840654027489E-2</v>
      </c>
      <c r="Y50" s="16">
        <f t="shared" si="62"/>
        <v>4.7546607462994688</v>
      </c>
      <c r="Z50" s="16">
        <f t="shared" si="62"/>
        <v>7.4273090802136316E-2</v>
      </c>
      <c r="AA50" s="16">
        <f t="shared" si="62"/>
        <v>4.0086832660654004</v>
      </c>
      <c r="AB50" s="16">
        <f t="shared" si="62"/>
        <v>8.8092910510229883E-2</v>
      </c>
      <c r="AC50" s="16">
        <f t="shared" si="62"/>
        <v>3.5360920584913993</v>
      </c>
      <c r="AD50" s="16">
        <f t="shared" si="62"/>
        <v>9.9864452507688883E-2</v>
      </c>
      <c r="AE50" s="16">
        <f t="shared" si="62"/>
        <v>3.20132906826049</v>
      </c>
      <c r="AF50" s="16">
        <f t="shared" si="62"/>
        <v>0.11030520946682153</v>
      </c>
      <c r="AG50" s="16">
        <f t="shared" si="62"/>
        <v>2.9478302348320939</v>
      </c>
      <c r="AH50" s="16">
        <f t="shared" si="62"/>
        <v>0.11978867780147463</v>
      </c>
      <c r="AI50" s="16">
        <f t="shared" si="62"/>
        <v>2.747096811061517</v>
      </c>
      <c r="AJ50" s="16">
        <f t="shared" si="62"/>
        <v>0.12853938188909261</v>
      </c>
      <c r="AK50" s="16">
        <f t="shared" si="62"/>
        <v>2.5829600176656777</v>
      </c>
      <c r="AL50" s="16">
        <f t="shared" si="62"/>
        <v>0.13670501476984359</v>
      </c>
      <c r="AM50" s="16">
        <f t="shared" si="62"/>
        <v>2.4454574009033161</v>
      </c>
      <c r="AN50" s="16">
        <f t="shared" si="62"/>
        <v>0.14438896640104287</v>
      </c>
      <c r="AO50" s="16">
        <f t="shared" si="62"/>
        <v>2.3280645054703863</v>
      </c>
      <c r="AP50" s="16">
        <f t="shared" si="62"/>
        <v>0.15166700077345169</v>
      </c>
      <c r="AQ50" s="16">
        <f t="shared" si="62"/>
        <v>2.2263025805369643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#NUM!</v>
      </c>
      <c r="M51" s="16" t="e">
        <f t="shared" si="52"/>
        <v>#NUM!</v>
      </c>
      <c r="N51" s="16" t="e">
        <f t="shared" si="15"/>
        <v>#NUM!</v>
      </c>
      <c r="O51" s="16" t="e">
        <f t="shared" si="16"/>
        <v>#NUM!</v>
      </c>
      <c r="P51" s="16" t="e">
        <f t="shared" si="9"/>
        <v>#VALUE!</v>
      </c>
      <c r="Q51" s="16" t="e">
        <f t="shared" si="53"/>
        <v>#NUM!</v>
      </c>
      <c r="R51" s="16" t="e">
        <f t="shared" si="11"/>
        <v>#NUM!</v>
      </c>
      <c r="S51" s="16" t="e">
        <f t="shared" si="12"/>
        <v>#NUM!</v>
      </c>
      <c r="T51" s="16" t="e">
        <f t="shared" si="13"/>
        <v>#NUM!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#NUM!</v>
      </c>
      <c r="M52" s="16" t="e">
        <f t="shared" si="52"/>
        <v>#NUM!</v>
      </c>
      <c r="N52" s="16" t="e">
        <f t="shared" si="15"/>
        <v>#NUM!</v>
      </c>
      <c r="O52" s="16" t="e">
        <f t="shared" si="16"/>
        <v>#NUM!</v>
      </c>
      <c r="P52" s="16" t="e">
        <f t="shared" si="9"/>
        <v>#VALUE!</v>
      </c>
      <c r="Q52" s="16" t="e">
        <f t="shared" si="53"/>
        <v>#NUM!</v>
      </c>
      <c r="R52" s="16" t="e">
        <f t="shared" si="11"/>
        <v>#NUM!</v>
      </c>
      <c r="S52" s="16" t="e">
        <f t="shared" si="12"/>
        <v>#NUM!</v>
      </c>
      <c r="T52" s="16" t="e">
        <f t="shared" si="13"/>
        <v>#NUM!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#NUM!</v>
      </c>
      <c r="M53" s="16" t="e">
        <f t="shared" si="52"/>
        <v>#NUM!</v>
      </c>
      <c r="N53" s="16" t="e">
        <f t="shared" si="15"/>
        <v>#NUM!</v>
      </c>
      <c r="O53" s="16" t="e">
        <f t="shared" si="16"/>
        <v>#NUM!</v>
      </c>
      <c r="P53" s="16" t="e">
        <f t="shared" si="9"/>
        <v>#VALUE!</v>
      </c>
      <c r="Q53" s="16" t="e">
        <f t="shared" si="53"/>
        <v>#NUM!</v>
      </c>
      <c r="R53" s="16" t="e">
        <f t="shared" si="11"/>
        <v>#NUM!</v>
      </c>
      <c r="S53" s="16" t="e">
        <f t="shared" si="12"/>
        <v>#NUM!</v>
      </c>
      <c r="T53" s="16" t="e">
        <f t="shared" si="13"/>
        <v>#NUM!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#NUM!</v>
      </c>
      <c r="M54" s="16" t="e">
        <f t="shared" si="52"/>
        <v>#NUM!</v>
      </c>
      <c r="N54" s="16" t="e">
        <f t="shared" si="15"/>
        <v>#NUM!</v>
      </c>
      <c r="O54" s="16" t="e">
        <f t="shared" si="16"/>
        <v>#NUM!</v>
      </c>
      <c r="P54" s="16" t="e">
        <f t="shared" si="9"/>
        <v>#VALUE!</v>
      </c>
      <c r="Q54" s="16" t="e">
        <f t="shared" si="53"/>
        <v>#NUM!</v>
      </c>
      <c r="R54" s="16" t="e">
        <f t="shared" si="11"/>
        <v>#NUM!</v>
      </c>
      <c r="S54" s="16" t="e">
        <f t="shared" si="12"/>
        <v>#NUM!</v>
      </c>
      <c r="T54" s="16" t="e">
        <f t="shared" si="13"/>
        <v>#NUM!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#NUM!</v>
      </c>
      <c r="M55" s="16" t="e">
        <f t="shared" si="52"/>
        <v>#NUM!</v>
      </c>
      <c r="N55" s="16" t="e">
        <f t="shared" si="15"/>
        <v>#NUM!</v>
      </c>
      <c r="O55" s="16" t="e">
        <f t="shared" si="16"/>
        <v>#NUM!</v>
      </c>
      <c r="P55" s="16" t="e">
        <f t="shared" si="9"/>
        <v>#VALUE!</v>
      </c>
      <c r="Q55" s="16" t="e">
        <f t="shared" si="53"/>
        <v>#NUM!</v>
      </c>
      <c r="R55" s="16" t="e">
        <f t="shared" si="11"/>
        <v>#NUM!</v>
      </c>
      <c r="S55" s="16" t="e">
        <f t="shared" si="12"/>
        <v>#NUM!</v>
      </c>
      <c r="T55" s="16" t="e">
        <f t="shared" si="13"/>
        <v>#NUM!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#NUM!</v>
      </c>
      <c r="M56" s="16" t="e">
        <f t="shared" si="52"/>
        <v>#NUM!</v>
      </c>
      <c r="N56" s="16" t="e">
        <f t="shared" si="15"/>
        <v>#NUM!</v>
      </c>
      <c r="O56" s="16" t="e">
        <f t="shared" si="16"/>
        <v>#NUM!</v>
      </c>
      <c r="P56" s="16" t="e">
        <f t="shared" si="9"/>
        <v>#VALUE!</v>
      </c>
      <c r="Q56" s="16" t="e">
        <f t="shared" si="53"/>
        <v>#NUM!</v>
      </c>
      <c r="R56" s="16" t="e">
        <f t="shared" si="11"/>
        <v>#NUM!</v>
      </c>
      <c r="S56" s="16" t="e">
        <f t="shared" si="12"/>
        <v>#NUM!</v>
      </c>
      <c r="T56" s="16" t="e">
        <f t="shared" si="13"/>
        <v>#NUM!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#NUM!</v>
      </c>
      <c r="M57" s="16" t="e">
        <f t="shared" si="52"/>
        <v>#NUM!</v>
      </c>
      <c r="N57" s="16" t="e">
        <f t="shared" si="15"/>
        <v>#NUM!</v>
      </c>
      <c r="O57" s="16" t="e">
        <f t="shared" si="16"/>
        <v>#NUM!</v>
      </c>
      <c r="P57" s="16" t="e">
        <f t="shared" si="9"/>
        <v>#VALUE!</v>
      </c>
      <c r="Q57" s="16" t="e">
        <f t="shared" si="53"/>
        <v>#NUM!</v>
      </c>
      <c r="R57" s="16" t="e">
        <f t="shared" si="11"/>
        <v>#NUM!</v>
      </c>
      <c r="S57" s="16" t="e">
        <f t="shared" si="12"/>
        <v>#NUM!</v>
      </c>
      <c r="T57" s="16" t="e">
        <f t="shared" si="13"/>
        <v>#NUM!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#NUM!</v>
      </c>
      <c r="M58" s="16" t="e">
        <f t="shared" si="52"/>
        <v>#NUM!</v>
      </c>
      <c r="N58" s="16" t="e">
        <f t="shared" si="15"/>
        <v>#NUM!</v>
      </c>
      <c r="O58" s="16" t="e">
        <f t="shared" si="16"/>
        <v>#NUM!</v>
      </c>
      <c r="P58" s="16" t="e">
        <f t="shared" si="9"/>
        <v>#VALUE!</v>
      </c>
      <c r="Q58" s="16" t="e">
        <f t="shared" si="53"/>
        <v>#NUM!</v>
      </c>
      <c r="R58" s="16" t="e">
        <f t="shared" si="11"/>
        <v>#NUM!</v>
      </c>
      <c r="S58" s="16" t="e">
        <f t="shared" si="12"/>
        <v>#NUM!</v>
      </c>
      <c r="T58" s="16" t="e">
        <f t="shared" si="13"/>
        <v>#NUM!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#NUM!</v>
      </c>
      <c r="M59" s="16" t="e">
        <f t="shared" si="52"/>
        <v>#NUM!</v>
      </c>
      <c r="N59" s="16" t="e">
        <f t="shared" si="15"/>
        <v>#NUM!</v>
      </c>
      <c r="O59" s="16" t="e">
        <f t="shared" si="16"/>
        <v>#NUM!</v>
      </c>
      <c r="P59" s="16" t="e">
        <f t="shared" si="9"/>
        <v>#VALUE!</v>
      </c>
      <c r="Q59" s="16" t="e">
        <f t="shared" si="53"/>
        <v>#NUM!</v>
      </c>
      <c r="R59" s="16" t="e">
        <f t="shared" si="11"/>
        <v>#NUM!</v>
      </c>
      <c r="S59" s="16" t="e">
        <f t="shared" si="12"/>
        <v>#NUM!</v>
      </c>
      <c r="T59" s="16" t="e">
        <f t="shared" si="13"/>
        <v>#NUM!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#NUM!</v>
      </c>
      <c r="M60" s="16" t="e">
        <f t="shared" si="52"/>
        <v>#NUM!</v>
      </c>
      <c r="N60" s="16" t="e">
        <f t="shared" si="15"/>
        <v>#NUM!</v>
      </c>
      <c r="O60" s="16" t="e">
        <f t="shared" si="16"/>
        <v>#NUM!</v>
      </c>
      <c r="P60" s="16" t="e">
        <f t="shared" si="9"/>
        <v>#VALUE!</v>
      </c>
      <c r="Q60" s="16" t="e">
        <f t="shared" si="53"/>
        <v>#NUM!</v>
      </c>
      <c r="R60" s="16" t="e">
        <f t="shared" si="11"/>
        <v>#NUM!</v>
      </c>
      <c r="S60" s="16" t="e">
        <f t="shared" si="12"/>
        <v>#NUM!</v>
      </c>
      <c r="T60" s="16" t="e">
        <f t="shared" si="13"/>
        <v>#NUM!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#NUM!</v>
      </c>
      <c r="M61" s="16" t="e">
        <f t="shared" si="52"/>
        <v>#NUM!</v>
      </c>
      <c r="N61" s="16" t="e">
        <f t="shared" si="15"/>
        <v>#NUM!</v>
      </c>
      <c r="O61" s="16" t="e">
        <f t="shared" si="16"/>
        <v>#NUM!</v>
      </c>
      <c r="P61" s="16" t="e">
        <f t="shared" si="9"/>
        <v>#VALUE!</v>
      </c>
      <c r="Q61" s="16" t="e">
        <f t="shared" si="53"/>
        <v>#NUM!</v>
      </c>
      <c r="R61" s="16" t="e">
        <f t="shared" si="11"/>
        <v>#NUM!</v>
      </c>
      <c r="S61" s="16" t="e">
        <f t="shared" si="12"/>
        <v>#NUM!</v>
      </c>
      <c r="T61" s="16" t="e">
        <f t="shared" si="13"/>
        <v>#NUM!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#NUM!</v>
      </c>
      <c r="M62" s="16" t="e">
        <f t="shared" si="52"/>
        <v>#NUM!</v>
      </c>
      <c r="N62" s="16" t="e">
        <f t="shared" si="15"/>
        <v>#NUM!</v>
      </c>
      <c r="O62" s="16" t="e">
        <f t="shared" si="16"/>
        <v>#NUM!</v>
      </c>
      <c r="P62" s="16" t="e">
        <f t="shared" si="9"/>
        <v>#VALUE!</v>
      </c>
      <c r="Q62" s="16" t="e">
        <f t="shared" si="53"/>
        <v>#NUM!</v>
      </c>
      <c r="R62" s="16" t="e">
        <f t="shared" si="11"/>
        <v>#NUM!</v>
      </c>
      <c r="S62" s="16" t="e">
        <f t="shared" si="12"/>
        <v>#NUM!</v>
      </c>
      <c r="T62" s="16" t="e">
        <f t="shared" si="13"/>
        <v>#NUM!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#NUM!</v>
      </c>
      <c r="M63" s="16" t="e">
        <f t="shared" si="52"/>
        <v>#NUM!</v>
      </c>
      <c r="N63" s="16" t="e">
        <f t="shared" si="15"/>
        <v>#NUM!</v>
      </c>
      <c r="O63" s="16" t="e">
        <f t="shared" si="16"/>
        <v>#NUM!</v>
      </c>
      <c r="P63" s="16" t="e">
        <f t="shared" si="9"/>
        <v>#VALUE!</v>
      </c>
      <c r="Q63" s="16" t="e">
        <f t="shared" si="53"/>
        <v>#NUM!</v>
      </c>
      <c r="R63" s="16" t="e">
        <f t="shared" si="11"/>
        <v>#NUM!</v>
      </c>
      <c r="S63" s="16" t="e">
        <f t="shared" si="12"/>
        <v>#NUM!</v>
      </c>
      <c r="T63" s="16" t="e">
        <f t="shared" si="13"/>
        <v>#NUM!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#NUM!</v>
      </c>
      <c r="M64" s="16" t="e">
        <f t="shared" si="52"/>
        <v>#NUM!</v>
      </c>
      <c r="N64" s="16" t="e">
        <f t="shared" si="15"/>
        <v>#NUM!</v>
      </c>
      <c r="O64" s="16" t="e">
        <f t="shared" si="16"/>
        <v>#NUM!</v>
      </c>
      <c r="P64" s="16" t="e">
        <f t="shared" si="9"/>
        <v>#VALUE!</v>
      </c>
      <c r="Q64" s="16" t="e">
        <f t="shared" si="53"/>
        <v>#NUM!</v>
      </c>
      <c r="R64" s="16" t="e">
        <f t="shared" si="11"/>
        <v>#NUM!</v>
      </c>
      <c r="S64" s="16" t="e">
        <f t="shared" si="12"/>
        <v>#NUM!</v>
      </c>
      <c r="T64" s="16" t="e">
        <f t="shared" si="13"/>
        <v>#NUM!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#NUM!</v>
      </c>
      <c r="M65" s="16" t="e">
        <f t="shared" si="52"/>
        <v>#NUM!</v>
      </c>
      <c r="N65" s="16" t="e">
        <f t="shared" si="15"/>
        <v>#NUM!</v>
      </c>
      <c r="O65" s="16" t="e">
        <f t="shared" si="16"/>
        <v>#NUM!</v>
      </c>
      <c r="P65" s="16" t="e">
        <f t="shared" si="9"/>
        <v>#VALUE!</v>
      </c>
      <c r="Q65" s="16" t="e">
        <f t="shared" si="53"/>
        <v>#NUM!</v>
      </c>
      <c r="R65" s="16" t="e">
        <f t="shared" si="11"/>
        <v>#NUM!</v>
      </c>
      <c r="S65" s="16" t="e">
        <f t="shared" si="12"/>
        <v>#NUM!</v>
      </c>
      <c r="T65" s="16" t="e">
        <f t="shared" si="13"/>
        <v>#NUM!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#NUM!</v>
      </c>
      <c r="M66" s="16" t="e">
        <f t="shared" si="52"/>
        <v>#NUM!</v>
      </c>
      <c r="N66" s="16" t="e">
        <f t="shared" si="15"/>
        <v>#NUM!</v>
      </c>
      <c r="O66" s="16" t="e">
        <f t="shared" si="16"/>
        <v>#NUM!</v>
      </c>
      <c r="P66" s="16" t="e">
        <f t="shared" si="9"/>
        <v>#VALUE!</v>
      </c>
      <c r="Q66" s="16" t="e">
        <f t="shared" si="53"/>
        <v>#NUM!</v>
      </c>
      <c r="R66" s="16" t="e">
        <f t="shared" si="11"/>
        <v>#NUM!</v>
      </c>
      <c r="S66" s="16" t="e">
        <f t="shared" si="12"/>
        <v>#NUM!</v>
      </c>
      <c r="T66" s="16" t="e">
        <f t="shared" si="13"/>
        <v>#NUM!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#NUM!</v>
      </c>
      <c r="M67" s="16" t="e">
        <f t="shared" si="52"/>
        <v>#NUM!</v>
      </c>
      <c r="N67" s="16" t="e">
        <f t="shared" si="15"/>
        <v>#NUM!</v>
      </c>
      <c r="O67" s="16" t="e">
        <f t="shared" si="16"/>
        <v>#NUM!</v>
      </c>
      <c r="P67" s="16" t="e">
        <f t="shared" si="9"/>
        <v>#VALUE!</v>
      </c>
      <c r="Q67" s="16" t="e">
        <f t="shared" si="53"/>
        <v>#NUM!</v>
      </c>
      <c r="R67" s="16" t="e">
        <f t="shared" si="11"/>
        <v>#NUM!</v>
      </c>
      <c r="S67" s="16" t="e">
        <f t="shared" si="12"/>
        <v>#NUM!</v>
      </c>
      <c r="T67" s="16" t="e">
        <f t="shared" si="13"/>
        <v>#NUM!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#NUM!</v>
      </c>
      <c r="M68" s="16" t="e">
        <f t="shared" si="52"/>
        <v>#NUM!</v>
      </c>
      <c r="N68" s="16" t="e">
        <f t="shared" si="15"/>
        <v>#NUM!</v>
      </c>
      <c r="O68" s="16" t="e">
        <f t="shared" si="16"/>
        <v>#NUM!</v>
      </c>
      <c r="P68" s="16" t="e">
        <f t="shared" si="9"/>
        <v>#VALUE!</v>
      </c>
      <c r="Q68" s="16" t="e">
        <f t="shared" si="53"/>
        <v>#NUM!</v>
      </c>
      <c r="R68" s="16" t="e">
        <f t="shared" si="11"/>
        <v>#NUM!</v>
      </c>
      <c r="S68" s="16" t="e">
        <f t="shared" si="12"/>
        <v>#NUM!</v>
      </c>
      <c r="T68" s="16" t="e">
        <f t="shared" si="13"/>
        <v>#NUM!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#NUM!</v>
      </c>
      <c r="M69" s="16" t="e">
        <f t="shared" si="52"/>
        <v>#NUM!</v>
      </c>
      <c r="N69" s="16" t="e">
        <f t="shared" si="15"/>
        <v>#NUM!</v>
      </c>
      <c r="O69" s="16" t="e">
        <f t="shared" si="16"/>
        <v>#NUM!</v>
      </c>
      <c r="P69" s="16" t="e">
        <f t="shared" si="9"/>
        <v>#VALUE!</v>
      </c>
      <c r="Q69" s="16" t="e">
        <f t="shared" si="53"/>
        <v>#NUM!</v>
      </c>
      <c r="R69" s="16" t="e">
        <f t="shared" si="11"/>
        <v>#NUM!</v>
      </c>
      <c r="S69" s="16" t="e">
        <f t="shared" si="12"/>
        <v>#NUM!</v>
      </c>
      <c r="T69" s="16" t="e">
        <f t="shared" si="13"/>
        <v>#NUM!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#NUM!</v>
      </c>
      <c r="M70" s="16" t="e">
        <f t="shared" si="52"/>
        <v>#NUM!</v>
      </c>
      <c r="N70" s="16" t="e">
        <f t="shared" si="15"/>
        <v>#NUM!</v>
      </c>
      <c r="O70" s="16" t="e">
        <f t="shared" si="16"/>
        <v>#NUM!</v>
      </c>
      <c r="P70" s="16" t="e">
        <f t="shared" si="9"/>
        <v>#VALUE!</v>
      </c>
      <c r="Q70" s="16" t="e">
        <f t="shared" si="53"/>
        <v>#NUM!</v>
      </c>
      <c r="R70" s="16" t="e">
        <f t="shared" si="11"/>
        <v>#NUM!</v>
      </c>
      <c r="S70" s="16" t="e">
        <f t="shared" si="12"/>
        <v>#NUM!</v>
      </c>
      <c r="T70" s="16" t="e">
        <f t="shared" si="13"/>
        <v>#NUM!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#NUM!</v>
      </c>
      <c r="M71" s="16" t="e">
        <f t="shared" si="52"/>
        <v>#NUM!</v>
      </c>
      <c r="N71" s="16" t="e">
        <f t="shared" si="15"/>
        <v>#NUM!</v>
      </c>
      <c r="O71" s="16" t="e">
        <f t="shared" si="16"/>
        <v>#NUM!</v>
      </c>
      <c r="P71" s="16" t="e">
        <f t="shared" si="9"/>
        <v>#VALUE!</v>
      </c>
      <c r="Q71" s="16" t="e">
        <f t="shared" si="53"/>
        <v>#NUM!</v>
      </c>
      <c r="R71" s="16" t="e">
        <f t="shared" si="11"/>
        <v>#NUM!</v>
      </c>
      <c r="S71" s="16" t="e">
        <f t="shared" si="12"/>
        <v>#NUM!</v>
      </c>
      <c r="T71" s="16" t="e">
        <f t="shared" si="13"/>
        <v>#NUM!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#NUM!</v>
      </c>
      <c r="M72" s="16" t="e">
        <f t="shared" si="52"/>
        <v>#NUM!</v>
      </c>
      <c r="N72" s="16" t="e">
        <f t="shared" si="15"/>
        <v>#NUM!</v>
      </c>
      <c r="O72" s="16" t="e">
        <f t="shared" si="16"/>
        <v>#NUM!</v>
      </c>
      <c r="P72" s="16" t="e">
        <f t="shared" si="9"/>
        <v>#VALUE!</v>
      </c>
      <c r="Q72" s="16" t="e">
        <f t="shared" si="53"/>
        <v>#NUM!</v>
      </c>
      <c r="R72" s="16" t="e">
        <f t="shared" si="11"/>
        <v>#NUM!</v>
      </c>
      <c r="S72" s="16" t="e">
        <f t="shared" si="12"/>
        <v>#NUM!</v>
      </c>
      <c r="T72" s="16" t="e">
        <f t="shared" si="13"/>
        <v>#NUM!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#NUM!</v>
      </c>
      <c r="M73" s="16" t="e">
        <f t="shared" si="52"/>
        <v>#NUM!</v>
      </c>
      <c r="N73" s="16" t="e">
        <f t="shared" si="15"/>
        <v>#NUM!</v>
      </c>
      <c r="O73" s="16" t="e">
        <f t="shared" si="16"/>
        <v>#NUM!</v>
      </c>
      <c r="P73" s="16" t="e">
        <f t="shared" si="9"/>
        <v>#VALUE!</v>
      </c>
      <c r="Q73" s="16" t="e">
        <f t="shared" si="53"/>
        <v>#NUM!</v>
      </c>
      <c r="R73" s="16" t="e">
        <f t="shared" si="11"/>
        <v>#NUM!</v>
      </c>
      <c r="S73" s="16" t="e">
        <f t="shared" si="12"/>
        <v>#NUM!</v>
      </c>
      <c r="T73" s="16" t="e">
        <f t="shared" si="13"/>
        <v>#NUM!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#NUM!</v>
      </c>
      <c r="M74" s="16" t="e">
        <f t="shared" ref="M74:M100" si="90">1/(1+((64*PI()^3)/(3*9.81^2))*((S74*L73*(A74-A73))/(H74^2))*((H74^2)/($E$9^4))*(((L74/L73)^2)/(SINH(2*PI()*H74/AQ73))^3))</f>
        <v>#NUM!</v>
      </c>
      <c r="N74" s="16" t="e">
        <f t="shared" si="15"/>
        <v>#NUM!</v>
      </c>
      <c r="O74" s="16" t="e">
        <f t="shared" si="16"/>
        <v>#NUM!</v>
      </c>
      <c r="P74" s="16" t="e">
        <f t="shared" ref="P74:P100" si="91">K74/M74</f>
        <v>#VALUE!</v>
      </c>
      <c r="Q74" s="16" t="e">
        <f t="shared" ref="Q74:Q100" si="92">($E$9*R74)/(2*PI())</f>
        <v>#NUM!</v>
      </c>
      <c r="R74" s="16" t="e">
        <f t="shared" ref="R74:R100" si="93">(O73/2)*SQRT(9.81/H74)</f>
        <v>#NUM!</v>
      </c>
      <c r="S74" s="16" t="e">
        <f t="shared" ref="S74:S100" si="94">EXP((5.213*((2.5*$I$6)/Q74)^0.195)-5.977)</f>
        <v>#NUM!</v>
      </c>
      <c r="T74" s="16" t="e">
        <f t="shared" ref="T74:T100" si="95">O74/H74</f>
        <v>#NUM!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#NUM!</v>
      </c>
      <c r="M75" s="16" t="e">
        <f t="shared" si="90"/>
        <v>#NUM!</v>
      </c>
      <c r="N75" s="16" t="e">
        <f t="shared" ref="N75:N100" si="97">M75*L75</f>
        <v>#NUM!</v>
      </c>
      <c r="O75" s="16" t="e">
        <f t="shared" ref="O75:O100" si="98">IF(N75/H75&gt;0.66,0.66*H75,N75)</f>
        <v>#NUM!</v>
      </c>
      <c r="P75" s="16" t="e">
        <f t="shared" si="91"/>
        <v>#VALUE!</v>
      </c>
      <c r="Q75" s="16" t="e">
        <f t="shared" si="92"/>
        <v>#NUM!</v>
      </c>
      <c r="R75" s="16" t="e">
        <f t="shared" si="93"/>
        <v>#NUM!</v>
      </c>
      <c r="S75" s="16" t="e">
        <f t="shared" si="94"/>
        <v>#NUM!</v>
      </c>
      <c r="T75" s="16" t="e">
        <f t="shared" si="95"/>
        <v>#NUM!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#NUM!</v>
      </c>
      <c r="M76" s="16" t="e">
        <f t="shared" si="90"/>
        <v>#NUM!</v>
      </c>
      <c r="N76" s="16" t="e">
        <f t="shared" si="97"/>
        <v>#NUM!</v>
      </c>
      <c r="O76" s="16" t="e">
        <f t="shared" si="98"/>
        <v>#NUM!</v>
      </c>
      <c r="P76" s="16" t="e">
        <f t="shared" si="91"/>
        <v>#VALUE!</v>
      </c>
      <c r="Q76" s="16" t="e">
        <f t="shared" si="92"/>
        <v>#NUM!</v>
      </c>
      <c r="R76" s="16" t="e">
        <f t="shared" si="93"/>
        <v>#NUM!</v>
      </c>
      <c r="S76" s="16" t="e">
        <f t="shared" si="94"/>
        <v>#NUM!</v>
      </c>
      <c r="T76" s="16" t="e">
        <f t="shared" si="95"/>
        <v>#NUM!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#NUM!</v>
      </c>
      <c r="M77" s="16" t="e">
        <f t="shared" si="90"/>
        <v>#NUM!</v>
      </c>
      <c r="N77" s="16" t="e">
        <f t="shared" si="97"/>
        <v>#NUM!</v>
      </c>
      <c r="O77" s="16" t="e">
        <f t="shared" si="98"/>
        <v>#NUM!</v>
      </c>
      <c r="P77" s="16" t="e">
        <f t="shared" si="91"/>
        <v>#VALUE!</v>
      </c>
      <c r="Q77" s="16" t="e">
        <f t="shared" si="92"/>
        <v>#NUM!</v>
      </c>
      <c r="R77" s="16" t="e">
        <f t="shared" si="93"/>
        <v>#NUM!</v>
      </c>
      <c r="S77" s="16" t="e">
        <f t="shared" si="94"/>
        <v>#NUM!</v>
      </c>
      <c r="T77" s="16" t="e">
        <f t="shared" si="95"/>
        <v>#NUM!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#NUM!</v>
      </c>
      <c r="M78" s="16" t="e">
        <f t="shared" si="90"/>
        <v>#NUM!</v>
      </c>
      <c r="N78" s="16" t="e">
        <f t="shared" si="97"/>
        <v>#NUM!</v>
      </c>
      <c r="O78" s="16" t="e">
        <f t="shared" si="98"/>
        <v>#NUM!</v>
      </c>
      <c r="P78" s="16" t="e">
        <f t="shared" si="91"/>
        <v>#VALUE!</v>
      </c>
      <c r="Q78" s="16" t="e">
        <f t="shared" si="92"/>
        <v>#NUM!</v>
      </c>
      <c r="R78" s="16" t="e">
        <f t="shared" si="93"/>
        <v>#NUM!</v>
      </c>
      <c r="S78" s="16" t="e">
        <f t="shared" si="94"/>
        <v>#NUM!</v>
      </c>
      <c r="T78" s="16" t="e">
        <f t="shared" si="95"/>
        <v>#NUM!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#NUM!</v>
      </c>
      <c r="M79" s="16" t="e">
        <f t="shared" si="90"/>
        <v>#NUM!</v>
      </c>
      <c r="N79" s="16" t="e">
        <f t="shared" si="97"/>
        <v>#NUM!</v>
      </c>
      <c r="O79" s="16" t="e">
        <f t="shared" si="98"/>
        <v>#NUM!</v>
      </c>
      <c r="P79" s="16" t="e">
        <f t="shared" si="91"/>
        <v>#VALUE!</v>
      </c>
      <c r="Q79" s="16" t="e">
        <f t="shared" si="92"/>
        <v>#NUM!</v>
      </c>
      <c r="R79" s="16" t="e">
        <f t="shared" si="93"/>
        <v>#NUM!</v>
      </c>
      <c r="S79" s="16" t="e">
        <f t="shared" si="94"/>
        <v>#NUM!</v>
      </c>
      <c r="T79" s="16" t="e">
        <f t="shared" si="95"/>
        <v>#NUM!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#NUM!</v>
      </c>
      <c r="M80" s="16" t="e">
        <f t="shared" si="90"/>
        <v>#NUM!</v>
      </c>
      <c r="N80" s="16" t="e">
        <f t="shared" si="97"/>
        <v>#NUM!</v>
      </c>
      <c r="O80" s="16" t="e">
        <f t="shared" si="98"/>
        <v>#NUM!</v>
      </c>
      <c r="P80" s="16" t="e">
        <f t="shared" si="91"/>
        <v>#VALUE!</v>
      </c>
      <c r="Q80" s="16" t="e">
        <f t="shared" si="92"/>
        <v>#NUM!</v>
      </c>
      <c r="R80" s="16" t="e">
        <f t="shared" si="93"/>
        <v>#NUM!</v>
      </c>
      <c r="S80" s="16" t="e">
        <f t="shared" si="94"/>
        <v>#NUM!</v>
      </c>
      <c r="T80" s="16" t="e">
        <f t="shared" si="95"/>
        <v>#NUM!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#NUM!</v>
      </c>
      <c r="M81" s="16" t="e">
        <f t="shared" si="90"/>
        <v>#NUM!</v>
      </c>
      <c r="N81" s="16" t="e">
        <f t="shared" si="97"/>
        <v>#NUM!</v>
      </c>
      <c r="O81" s="16" t="e">
        <f t="shared" si="98"/>
        <v>#NUM!</v>
      </c>
      <c r="P81" s="16" t="e">
        <f t="shared" si="91"/>
        <v>#VALUE!</v>
      </c>
      <c r="Q81" s="16" t="e">
        <f t="shared" si="92"/>
        <v>#NUM!</v>
      </c>
      <c r="R81" s="16" t="e">
        <f t="shared" si="93"/>
        <v>#NUM!</v>
      </c>
      <c r="S81" s="16" t="e">
        <f t="shared" si="94"/>
        <v>#NUM!</v>
      </c>
      <c r="T81" s="16" t="e">
        <f t="shared" si="95"/>
        <v>#NUM!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#NUM!</v>
      </c>
      <c r="M82" s="16" t="e">
        <f t="shared" si="90"/>
        <v>#NUM!</v>
      </c>
      <c r="N82" s="16" t="e">
        <f t="shared" si="97"/>
        <v>#NUM!</v>
      </c>
      <c r="O82" s="16" t="e">
        <f t="shared" si="98"/>
        <v>#NUM!</v>
      </c>
      <c r="P82" s="16" t="e">
        <f t="shared" si="91"/>
        <v>#VALUE!</v>
      </c>
      <c r="Q82" s="16" t="e">
        <f t="shared" si="92"/>
        <v>#NUM!</v>
      </c>
      <c r="R82" s="16" t="e">
        <f t="shared" si="93"/>
        <v>#NUM!</v>
      </c>
      <c r="S82" s="16" t="e">
        <f t="shared" si="94"/>
        <v>#NUM!</v>
      </c>
      <c r="T82" s="16" t="e">
        <f t="shared" si="95"/>
        <v>#NUM!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#NUM!</v>
      </c>
      <c r="M83" s="16" t="e">
        <f t="shared" si="90"/>
        <v>#NUM!</v>
      </c>
      <c r="N83" s="16" t="e">
        <f t="shared" si="97"/>
        <v>#NUM!</v>
      </c>
      <c r="O83" s="16" t="e">
        <f t="shared" si="98"/>
        <v>#NUM!</v>
      </c>
      <c r="P83" s="16" t="e">
        <f t="shared" si="91"/>
        <v>#VALUE!</v>
      </c>
      <c r="Q83" s="16" t="e">
        <f t="shared" si="92"/>
        <v>#NUM!</v>
      </c>
      <c r="R83" s="16" t="e">
        <f t="shared" si="93"/>
        <v>#NUM!</v>
      </c>
      <c r="S83" s="16" t="e">
        <f t="shared" si="94"/>
        <v>#NUM!</v>
      </c>
      <c r="T83" s="16" t="e">
        <f t="shared" si="95"/>
        <v>#NUM!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#NUM!</v>
      </c>
      <c r="M84" s="16" t="e">
        <f t="shared" si="90"/>
        <v>#NUM!</v>
      </c>
      <c r="N84" s="16" t="e">
        <f t="shared" si="97"/>
        <v>#NUM!</v>
      </c>
      <c r="O84" s="16" t="e">
        <f t="shared" si="98"/>
        <v>#NUM!</v>
      </c>
      <c r="P84" s="16" t="e">
        <f t="shared" si="91"/>
        <v>#VALUE!</v>
      </c>
      <c r="Q84" s="16" t="e">
        <f t="shared" si="92"/>
        <v>#NUM!</v>
      </c>
      <c r="R84" s="16" t="e">
        <f t="shared" si="93"/>
        <v>#NUM!</v>
      </c>
      <c r="S84" s="16" t="e">
        <f t="shared" si="94"/>
        <v>#NUM!</v>
      </c>
      <c r="T84" s="16" t="e">
        <f t="shared" si="95"/>
        <v>#NUM!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#NUM!</v>
      </c>
      <c r="M85" s="16" t="e">
        <f t="shared" si="90"/>
        <v>#NUM!</v>
      </c>
      <c r="N85" s="16" t="e">
        <f t="shared" si="97"/>
        <v>#NUM!</v>
      </c>
      <c r="O85" s="16" t="e">
        <f t="shared" si="98"/>
        <v>#NUM!</v>
      </c>
      <c r="P85" s="16" t="e">
        <f t="shared" si="91"/>
        <v>#VALUE!</v>
      </c>
      <c r="Q85" s="16" t="e">
        <f t="shared" si="92"/>
        <v>#NUM!</v>
      </c>
      <c r="R85" s="16" t="e">
        <f t="shared" si="93"/>
        <v>#NUM!</v>
      </c>
      <c r="S85" s="16" t="e">
        <f t="shared" si="94"/>
        <v>#NUM!</v>
      </c>
      <c r="T85" s="16" t="e">
        <f t="shared" si="95"/>
        <v>#NUM!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#NUM!</v>
      </c>
      <c r="M86" s="16" t="e">
        <f t="shared" si="90"/>
        <v>#NUM!</v>
      </c>
      <c r="N86" s="16" t="e">
        <f t="shared" si="97"/>
        <v>#NUM!</v>
      </c>
      <c r="O86" s="16" t="e">
        <f t="shared" si="98"/>
        <v>#NUM!</v>
      </c>
      <c r="P86" s="16" t="e">
        <f t="shared" si="91"/>
        <v>#VALUE!</v>
      </c>
      <c r="Q86" s="16" t="e">
        <f t="shared" si="92"/>
        <v>#NUM!</v>
      </c>
      <c r="R86" s="16" t="e">
        <f t="shared" si="93"/>
        <v>#NUM!</v>
      </c>
      <c r="S86" s="16" t="e">
        <f t="shared" si="94"/>
        <v>#NUM!</v>
      </c>
      <c r="T86" s="16" t="e">
        <f t="shared" si="95"/>
        <v>#NUM!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#NUM!</v>
      </c>
      <c r="M87" s="16" t="e">
        <f t="shared" si="90"/>
        <v>#NUM!</v>
      </c>
      <c r="N87" s="16" t="e">
        <f t="shared" si="97"/>
        <v>#NUM!</v>
      </c>
      <c r="O87" s="16" t="e">
        <f t="shared" si="98"/>
        <v>#NUM!</v>
      </c>
      <c r="P87" s="16" t="e">
        <f t="shared" si="91"/>
        <v>#VALUE!</v>
      </c>
      <c r="Q87" s="16" t="e">
        <f t="shared" si="92"/>
        <v>#NUM!</v>
      </c>
      <c r="R87" s="16" t="e">
        <f t="shared" si="93"/>
        <v>#NUM!</v>
      </c>
      <c r="S87" s="16" t="e">
        <f t="shared" si="94"/>
        <v>#NUM!</v>
      </c>
      <c r="T87" s="16" t="e">
        <f t="shared" si="95"/>
        <v>#NUM!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#NUM!</v>
      </c>
      <c r="M88" s="16" t="e">
        <f t="shared" si="90"/>
        <v>#NUM!</v>
      </c>
      <c r="N88" s="16" t="e">
        <f t="shared" si="97"/>
        <v>#NUM!</v>
      </c>
      <c r="O88" s="16" t="e">
        <f t="shared" si="98"/>
        <v>#NUM!</v>
      </c>
      <c r="P88" s="16" t="e">
        <f t="shared" si="91"/>
        <v>#VALUE!</v>
      </c>
      <c r="Q88" s="16" t="e">
        <f t="shared" si="92"/>
        <v>#NUM!</v>
      </c>
      <c r="R88" s="16" t="e">
        <f t="shared" si="93"/>
        <v>#NUM!</v>
      </c>
      <c r="S88" s="16" t="e">
        <f t="shared" si="94"/>
        <v>#NUM!</v>
      </c>
      <c r="T88" s="16" t="e">
        <f t="shared" si="95"/>
        <v>#NUM!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#NUM!</v>
      </c>
      <c r="M89" s="16" t="e">
        <f t="shared" si="90"/>
        <v>#NUM!</v>
      </c>
      <c r="N89" s="16" t="e">
        <f t="shared" si="97"/>
        <v>#NUM!</v>
      </c>
      <c r="O89" s="16" t="e">
        <f t="shared" si="98"/>
        <v>#NUM!</v>
      </c>
      <c r="P89" s="16" t="e">
        <f t="shared" si="91"/>
        <v>#VALUE!</v>
      </c>
      <c r="Q89" s="16" t="e">
        <f t="shared" si="92"/>
        <v>#NUM!</v>
      </c>
      <c r="R89" s="16" t="e">
        <f t="shared" si="93"/>
        <v>#NUM!</v>
      </c>
      <c r="S89" s="16" t="e">
        <f t="shared" si="94"/>
        <v>#NUM!</v>
      </c>
      <c r="T89" s="16" t="e">
        <f t="shared" si="95"/>
        <v>#NUM!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#NUM!</v>
      </c>
      <c r="M90" s="16" t="e">
        <f t="shared" si="90"/>
        <v>#NUM!</v>
      </c>
      <c r="N90" s="16" t="e">
        <f t="shared" si="97"/>
        <v>#NUM!</v>
      </c>
      <c r="O90" s="16" t="e">
        <f t="shared" si="98"/>
        <v>#NUM!</v>
      </c>
      <c r="P90" s="16" t="e">
        <f t="shared" si="91"/>
        <v>#VALUE!</v>
      </c>
      <c r="Q90" s="16" t="e">
        <f t="shared" si="92"/>
        <v>#NUM!</v>
      </c>
      <c r="R90" s="16" t="e">
        <f t="shared" si="93"/>
        <v>#NUM!</v>
      </c>
      <c r="S90" s="16" t="e">
        <f t="shared" si="94"/>
        <v>#NUM!</v>
      </c>
      <c r="T90" s="16" t="e">
        <f t="shared" si="95"/>
        <v>#NUM!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#NUM!</v>
      </c>
      <c r="M91" s="16" t="e">
        <f t="shared" si="90"/>
        <v>#NUM!</v>
      </c>
      <c r="N91" s="16" t="e">
        <f t="shared" si="97"/>
        <v>#NUM!</v>
      </c>
      <c r="O91" s="16" t="e">
        <f t="shared" si="98"/>
        <v>#NUM!</v>
      </c>
      <c r="P91" s="16" t="e">
        <f t="shared" si="91"/>
        <v>#VALUE!</v>
      </c>
      <c r="Q91" s="16" t="e">
        <f t="shared" si="92"/>
        <v>#NUM!</v>
      </c>
      <c r="R91" s="16" t="e">
        <f t="shared" si="93"/>
        <v>#NUM!</v>
      </c>
      <c r="S91" s="16" t="e">
        <f t="shared" si="94"/>
        <v>#NUM!</v>
      </c>
      <c r="T91" s="16" t="e">
        <f t="shared" si="95"/>
        <v>#NUM!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#NUM!</v>
      </c>
      <c r="M92" s="16" t="e">
        <f t="shared" si="90"/>
        <v>#NUM!</v>
      </c>
      <c r="N92" s="16" t="e">
        <f t="shared" si="97"/>
        <v>#NUM!</v>
      </c>
      <c r="O92" s="16" t="e">
        <f t="shared" si="98"/>
        <v>#NUM!</v>
      </c>
      <c r="P92" s="16" t="e">
        <f t="shared" si="91"/>
        <v>#VALUE!</v>
      </c>
      <c r="Q92" s="16" t="e">
        <f t="shared" si="92"/>
        <v>#NUM!</v>
      </c>
      <c r="R92" s="16" t="e">
        <f t="shared" si="93"/>
        <v>#NUM!</v>
      </c>
      <c r="S92" s="16" t="e">
        <f t="shared" si="94"/>
        <v>#NUM!</v>
      </c>
      <c r="T92" s="16" t="e">
        <f t="shared" si="95"/>
        <v>#NUM!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#NUM!</v>
      </c>
      <c r="M93" s="16" t="e">
        <f t="shared" si="90"/>
        <v>#NUM!</v>
      </c>
      <c r="N93" s="16" t="e">
        <f t="shared" si="97"/>
        <v>#NUM!</v>
      </c>
      <c r="O93" s="16" t="e">
        <f t="shared" si="98"/>
        <v>#NUM!</v>
      </c>
      <c r="P93" s="16" t="e">
        <f t="shared" si="91"/>
        <v>#VALUE!</v>
      </c>
      <c r="Q93" s="16" t="e">
        <f t="shared" si="92"/>
        <v>#NUM!</v>
      </c>
      <c r="R93" s="16" t="e">
        <f t="shared" si="93"/>
        <v>#NUM!</v>
      </c>
      <c r="S93" s="16" t="e">
        <f t="shared" si="94"/>
        <v>#NUM!</v>
      </c>
      <c r="T93" s="16" t="e">
        <f t="shared" si="95"/>
        <v>#NUM!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#NUM!</v>
      </c>
      <c r="M94" s="16" t="e">
        <f t="shared" si="90"/>
        <v>#NUM!</v>
      </c>
      <c r="N94" s="16" t="e">
        <f t="shared" si="97"/>
        <v>#NUM!</v>
      </c>
      <c r="O94" s="16" t="e">
        <f t="shared" si="98"/>
        <v>#NUM!</v>
      </c>
      <c r="P94" s="16" t="e">
        <f t="shared" si="91"/>
        <v>#VALUE!</v>
      </c>
      <c r="Q94" s="16" t="e">
        <f t="shared" si="92"/>
        <v>#NUM!</v>
      </c>
      <c r="R94" s="16" t="e">
        <f t="shared" si="93"/>
        <v>#NUM!</v>
      </c>
      <c r="S94" s="16" t="e">
        <f t="shared" si="94"/>
        <v>#NUM!</v>
      </c>
      <c r="T94" s="16" t="e">
        <f t="shared" si="95"/>
        <v>#NUM!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#NUM!</v>
      </c>
      <c r="M95" s="16" t="e">
        <f t="shared" si="90"/>
        <v>#NUM!</v>
      </c>
      <c r="N95" s="16" t="e">
        <f t="shared" si="97"/>
        <v>#NUM!</v>
      </c>
      <c r="O95" s="16" t="e">
        <f t="shared" si="98"/>
        <v>#NUM!</v>
      </c>
      <c r="P95" s="16" t="e">
        <f t="shared" si="91"/>
        <v>#VALUE!</v>
      </c>
      <c r="Q95" s="16" t="e">
        <f t="shared" si="92"/>
        <v>#NUM!</v>
      </c>
      <c r="R95" s="16" t="e">
        <f t="shared" si="93"/>
        <v>#NUM!</v>
      </c>
      <c r="S95" s="16" t="e">
        <f t="shared" si="94"/>
        <v>#NUM!</v>
      </c>
      <c r="T95" s="16" t="e">
        <f t="shared" si="95"/>
        <v>#NUM!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#NUM!</v>
      </c>
      <c r="M96" s="16" t="e">
        <f t="shared" si="90"/>
        <v>#NUM!</v>
      </c>
      <c r="N96" s="16" t="e">
        <f t="shared" si="97"/>
        <v>#NUM!</v>
      </c>
      <c r="O96" s="16" t="e">
        <f t="shared" si="98"/>
        <v>#NUM!</v>
      </c>
      <c r="P96" s="16" t="e">
        <f t="shared" si="91"/>
        <v>#VALUE!</v>
      </c>
      <c r="Q96" s="16" t="e">
        <f t="shared" si="92"/>
        <v>#NUM!</v>
      </c>
      <c r="R96" s="16" t="e">
        <f t="shared" si="93"/>
        <v>#NUM!</v>
      </c>
      <c r="S96" s="16" t="e">
        <f t="shared" si="94"/>
        <v>#NUM!</v>
      </c>
      <c r="T96" s="16" t="e">
        <f t="shared" si="95"/>
        <v>#NUM!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#NUM!</v>
      </c>
      <c r="M97" s="16" t="e">
        <f t="shared" si="90"/>
        <v>#NUM!</v>
      </c>
      <c r="N97" s="16" t="e">
        <f t="shared" si="97"/>
        <v>#NUM!</v>
      </c>
      <c r="O97" s="16" t="e">
        <f t="shared" si="98"/>
        <v>#NUM!</v>
      </c>
      <c r="P97" s="16" t="e">
        <f t="shared" si="91"/>
        <v>#VALUE!</v>
      </c>
      <c r="Q97" s="16" t="e">
        <f t="shared" si="92"/>
        <v>#NUM!</v>
      </c>
      <c r="R97" s="16" t="e">
        <f t="shared" si="93"/>
        <v>#NUM!</v>
      </c>
      <c r="S97" s="16" t="e">
        <f t="shared" si="94"/>
        <v>#NUM!</v>
      </c>
      <c r="T97" s="16" t="e">
        <f t="shared" si="95"/>
        <v>#NUM!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#NUM!</v>
      </c>
      <c r="M98" s="16" t="e">
        <f t="shared" si="90"/>
        <v>#NUM!</v>
      </c>
      <c r="N98" s="16" t="e">
        <f t="shared" si="97"/>
        <v>#NUM!</v>
      </c>
      <c r="O98" s="16" t="e">
        <f t="shared" si="98"/>
        <v>#NUM!</v>
      </c>
      <c r="P98" s="16" t="e">
        <f t="shared" si="91"/>
        <v>#VALUE!</v>
      </c>
      <c r="Q98" s="16" t="e">
        <f t="shared" si="92"/>
        <v>#NUM!</v>
      </c>
      <c r="R98" s="16" t="e">
        <f t="shared" si="93"/>
        <v>#NUM!</v>
      </c>
      <c r="S98" s="16" t="e">
        <f t="shared" si="94"/>
        <v>#NUM!</v>
      </c>
      <c r="T98" s="16" t="e">
        <f t="shared" si="95"/>
        <v>#NUM!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#NUM!</v>
      </c>
      <c r="M99" s="16" t="e">
        <f t="shared" si="90"/>
        <v>#NUM!</v>
      </c>
      <c r="N99" s="16" t="e">
        <f t="shared" si="97"/>
        <v>#NUM!</v>
      </c>
      <c r="O99" s="16" t="e">
        <f t="shared" si="98"/>
        <v>#NUM!</v>
      </c>
      <c r="P99" s="16" t="e">
        <f t="shared" si="91"/>
        <v>#VALUE!</v>
      </c>
      <c r="Q99" s="16" t="e">
        <f t="shared" si="92"/>
        <v>#NUM!</v>
      </c>
      <c r="R99" s="16" t="e">
        <f t="shared" si="93"/>
        <v>#NUM!</v>
      </c>
      <c r="S99" s="16" t="e">
        <f t="shared" si="94"/>
        <v>#NUM!</v>
      </c>
      <c r="T99" s="16" t="e">
        <f t="shared" si="95"/>
        <v>#NUM!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#NUM!</v>
      </c>
      <c r="M100" s="16" t="e">
        <f t="shared" si="90"/>
        <v>#NUM!</v>
      </c>
      <c r="N100" s="16" t="e">
        <f t="shared" si="97"/>
        <v>#NUM!</v>
      </c>
      <c r="O100" s="16" t="e">
        <f t="shared" si="98"/>
        <v>#NUM!</v>
      </c>
      <c r="P100" s="16" t="e">
        <f t="shared" si="91"/>
        <v>#VALUE!</v>
      </c>
      <c r="Q100" s="16" t="e">
        <f t="shared" si="92"/>
        <v>#NUM!</v>
      </c>
      <c r="R100" s="16" t="e">
        <f t="shared" si="93"/>
        <v>#NUM!</v>
      </c>
      <c r="S100" s="16" t="e">
        <f t="shared" si="94"/>
        <v>#NUM!</v>
      </c>
      <c r="T100" s="16" t="e">
        <f t="shared" si="95"/>
        <v>#NUM!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2014-12-16T05:35:35Z</dcterms:modified>
</cp:coreProperties>
</file>