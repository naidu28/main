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<sst xmlns="http://schemas.openxmlformats.org/spreadsheetml/2006/main" count="24" uniqueCount="22">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</sst>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1.0462612847216164</c:v>
                </c:pt>
                <c:pt idx="3">
                  <c:v>1.0739446816509626</c:v>
                </c:pt>
                <c:pt idx="4">
                  <c:v>1.1057432200034829</c:v>
                </c:pt>
                <c:pt idx="5">
                  <c:v>1.1429180219425261</c:v>
                </c:pt>
                <c:pt idx="6">
                  <c:v>1.1873816787708424</c:v>
                </c:pt>
                <c:pt idx="7">
                  <c:v>1.2226737895503552</c:v>
                </c:pt>
                <c:pt idx="8">
                  <c:v>1.2309703026401384</c:v>
                </c:pt>
                <c:pt idx="9">
                  <c:v>1.1831214042367582</c:v>
                </c:pt>
                <c:pt idx="10">
                  <c:v>1.1037448950859594</c:v>
                </c:pt>
                <c:pt idx="11">
                  <c:v>1.0936354381074112</c:v>
                </c:pt>
                <c:pt idx="12">
                  <c:v>1.1162773430244259</c:v>
                </c:pt>
                <c:pt idx="13">
                  <c:v>1.1592882516493417</c:v>
                </c:pt>
                <c:pt idx="14">
                  <c:v>1.2331079243662797</c:v>
                </c:pt>
                <c:pt idx="15">
                  <c:v>1.3267300971616787</c:v>
                </c:pt>
                <c:pt idx="16">
                  <c:v>1.4214184518890229</c:v>
                </c:pt>
                <c:pt idx="17">
                  <c:v>1.4418723988247617</c:v>
                </c:pt>
                <c:pt idx="18">
                  <c:v>1.4919542872457381</c:v>
                </c:pt>
                <c:pt idx="19">
                  <c:v>1.5103482123284091</c:v>
                </c:pt>
                <c:pt idx="20">
                  <c:v>1.4875088341387448</c:v>
                </c:pt>
                <c:pt idx="21">
                  <c:v>1.451118753078213</c:v>
                </c:pt>
                <c:pt idx="22">
                  <c:v>1.4618734657451706</c:v>
                </c:pt>
                <c:pt idx="23">
                  <c:v>1.415053613717453</c:v>
                </c:pt>
                <c:pt idx="24">
                  <c:v>1.4315767468186893</c:v>
                </c:pt>
                <c:pt idx="25">
                  <c:v>1.4743578934552106</c:v>
                </c:pt>
                <c:pt idx="26">
                  <c:v>1.5741406508253579</c:v>
                </c:pt>
                <c:pt idx="27">
                  <c:v>1.7055497841193838</c:v>
                </c:pt>
                <c:pt idx="28">
                  <c:v>1.9264772646189463</c:v>
                </c:pt>
                <c:pt idx="29">
                  <c:v>1.9636490751487579</c:v>
                </c:pt>
                <c:pt idx="30">
                  <c:v>1.880100900537633</c:v>
                </c:pt>
                <c:pt idx="31">
                  <c:v>1.7956779482920198</c:v>
                </c:pt>
                <c:pt idx="32">
                  <c:v>1.8013599300541308</c:v>
                </c:pt>
                <c:pt idx="33">
                  <c:v>1.8922583388021876</c:v>
                </c:pt>
                <c:pt idx="34">
                  <c:v>2.1788887930590333</c:v>
                </c:pt>
                <c:pt idx="35">
                  <c:v>2.6541446073776469</c:v>
                </c:pt>
                <c:pt idx="36">
                  <c:v>4.1594157014271298</c:v>
                </c:pt>
                <c:pt idx="37">
                  <c:v>7.2987936834084071</c:v>
                </c:pt>
                <c:pt idx="38">
                  <c:v>19.690063586903914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1.0000101164858057</c:v>
                </c:pt>
                <c:pt idx="2">
                  <c:v>1.0000198489765395</c:v>
                </c:pt>
                <c:pt idx="3">
                  <c:v>1.0000388969032323</c:v>
                </c:pt>
                <c:pt idx="4">
                  <c:v>1.0000762659348506</c:v>
                </c:pt>
                <c:pt idx="5">
                  <c:v>1.000150214808996</c:v>
                </c:pt>
                <c:pt idx="6">
                  <c:v>1.0002995529553891</c:v>
                </c:pt>
                <c:pt idx="7">
                  <c:v>1.0005383878984884</c:v>
                </c:pt>
                <c:pt idx="8">
                  <c:v>1.0009836973264099</c:v>
                </c:pt>
                <c:pt idx="9">
                  <c:v>1.0002310213916434</c:v>
                </c:pt>
                <c:pt idx="10">
                  <c:v>1.0000834532597738</c:v>
                </c:pt>
                <c:pt idx="11">
                  <c:v>1.0001555396686985</c:v>
                </c:pt>
                <c:pt idx="12">
                  <c:v>1.0000683228471818</c:v>
                </c:pt>
                <c:pt idx="13">
                  <c:v>1.0002135443306557</c:v>
                </c:pt>
                <c:pt idx="14">
                  <c:v>1.0005579659251087</c:v>
                </c:pt>
                <c:pt idx="15">
                  <c:v>1.001657146813334</c:v>
                </c:pt>
                <c:pt idx="16">
                  <c:v>1.0030116803097686</c:v>
                </c:pt>
                <c:pt idx="17">
                  <c:v>1.0013111751396149</c:v>
                </c:pt>
                <c:pt idx="18">
                  <c:v>1.0033293751436057</c:v>
                </c:pt>
                <c:pt idx="19">
                  <c:v>1.0023163120878111</c:v>
                </c:pt>
                <c:pt idx="20">
                  <c:v>1.0013611156100841</c:v>
                </c:pt>
                <c:pt idx="21">
                  <c:v>1.0015934995120601</c:v>
                </c:pt>
                <c:pt idx="22">
                  <c:v>1</c:v>
                </c:pt>
                <c:pt idx="23">
                  <c:v>1.0011038984594027</c:v>
                </c:pt>
                <c:pt idx="24">
                  <c:v>1.0030709458924858</c:v>
                </c:pt>
                <c:pt idx="25">
                  <c:v>1.0025479851155636</c:v>
                </c:pt>
                <c:pt idx="26">
                  <c:v>1.0029222441460413</c:v>
                </c:pt>
                <c:pt idx="27">
                  <c:v>1.0094498450775446</c:v>
                </c:pt>
                <c:pt idx="28">
                  <c:v>1.0408567321349669</c:v>
                </c:pt>
                <c:pt idx="29">
                  <c:v>1.0105482705359277</c:v>
                </c:pt>
                <c:pt idx="30">
                  <c:v>1.0051189812941421</c:v>
                </c:pt>
                <c:pt idx="31">
                  <c:v>1.0031642543516868</c:v>
                </c:pt>
                <c:pt idx="32">
                  <c:v>1.0061617379868657</c:v>
                </c:pt>
                <c:pt idx="33">
                  <c:v>1.0102350160501423</c:v>
                </c:pt>
                <c:pt idx="34">
                  <c:v>1.0362937134846792</c:v>
                </c:pt>
                <c:pt idx="35">
                  <c:v>1.6052976563237642</c:v>
                </c:pt>
                <c:pt idx="36">
                  <c:v>1.713053532540264</c:v>
                </c:pt>
                <c:pt idx="37">
                  <c:v>2.2627483270692363</c:v>
                </c:pt>
                <c:pt idx="38">
                  <c:v>-5.9388771418010501E-2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0.125</c:v>
                </c:pt>
                <c:pt idx="1">
                  <c:v>0.12772884793914135</c:v>
                </c:pt>
                <c:pt idx="2">
                  <c:v>0.13078525649216388</c:v>
                </c:pt>
                <c:pt idx="3">
                  <c:v>0.13424830684666519</c:v>
                </c:pt>
                <c:pt idx="4">
                  <c:v>0.13822844381798263</c:v>
                </c:pt>
                <c:pt idx="5">
                  <c:v>0.14288621314436128</c:v>
                </c:pt>
                <c:pt idx="6">
                  <c:v>0.14846717030773662</c:v>
                </c:pt>
                <c:pt idx="7">
                  <c:v>0.15291650779030599</c:v>
                </c:pt>
                <c:pt idx="8">
                  <c:v>0.15402265060446693</c:v>
                </c:pt>
                <c:pt idx="9">
                  <c:v>0.14792434132375601</c:v>
                </c:pt>
                <c:pt idx="10">
                  <c:v>0.13797962577442663</c:v>
                </c:pt>
                <c:pt idx="11">
                  <c:v>0.13672569272514143</c:v>
                </c:pt>
                <c:pt idx="12">
                  <c:v>0.13954420128384323</c:v>
                </c:pt>
                <c:pt idx="13">
                  <c:v>0.14494197638538464</c:v>
                </c:pt>
                <c:pt idx="14">
                  <c:v>0.1542244945712572</c:v>
                </c:pt>
                <c:pt idx="15">
                  <c:v>0.16611608546429305</c:v>
                </c:pt>
                <c:pt idx="16">
                  <c:v>0.17821241373156485</c:v>
                </c:pt>
                <c:pt idx="17">
                  <c:v>0.18047036825857471</c:v>
                </c:pt>
                <c:pt idx="18">
                  <c:v>0.18711519534563625</c:v>
                </c:pt>
                <c:pt idx="19">
                  <c:v>0.18923083126867868</c:v>
                </c:pt>
                <c:pt idx="20">
                  <c:v>0.18619168820412862</c:v>
                </c:pt>
                <c:pt idx="21">
                  <c:v>0.18167888876289806</c:v>
                </c:pt>
                <c:pt idx="22">
                  <c:v>0.18273418321814633</c:v>
                </c:pt>
                <c:pt idx="23">
                  <c:v>0.177076961152701</c:v>
                </c:pt>
                <c:pt idx="24">
                  <c:v>0.17949663019363879</c:v>
                </c:pt>
                <c:pt idx="25">
                  <c:v>0.18476431692784354</c:v>
                </c:pt>
                <c:pt idx="26">
                  <c:v>0.19734258426590973</c:v>
                </c:pt>
                <c:pt idx="27">
                  <c:v>0.21520837066891896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0.22516999125676634</c:v>
                </c:pt>
                <c:pt idx="32">
                  <c:v>0.22655742974539539</c:v>
                </c:pt>
                <c:pt idx="33">
                  <c:v>0.21053999999999998</c:v>
                </c:pt>
                <c:pt idx="34">
                  <c:v>0.12474000000000005</c:v>
                </c:pt>
                <c:pt idx="35">
                  <c:v>6.5339999999999843E-2</c:v>
                </c:pt>
                <c:pt idx="36">
                  <c:v>7.193999999999999E-2</c:v>
                </c:pt>
                <c:pt idx="37">
                  <c:v>6.5339999999999843E-2</c:v>
                </c:pt>
                <c:pt idx="38">
                  <c:v>-0.14617108569609105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4.5955882352941173E-2</c:v>
                </c:pt>
                <c:pt idx="1">
                  <c:v>5.1193927029715973E-2</c:v>
                </c:pt>
                <c:pt idx="2">
                  <c:v>5.76146504370766E-2</c:v>
                </c:pt>
                <c:pt idx="3">
                  <c:v>6.5647093812550225E-2</c:v>
                </c:pt>
                <c:pt idx="4">
                  <c:v>7.5949694405484963E-2</c:v>
                </c:pt>
                <c:pt idx="5">
                  <c:v>8.9583832692389523E-2</c:v>
                </c:pt>
                <c:pt idx="6">
                  <c:v>0.10837019730491723</c:v>
                </c:pt>
                <c:pt idx="7">
                  <c:v>0.12534139982811968</c:v>
                </c:pt>
                <c:pt idx="8">
                  <c:v>0.12943079882728314</c:v>
                </c:pt>
                <c:pt idx="9">
                  <c:v>0.10566024380268287</c:v>
                </c:pt>
                <c:pt idx="10">
                  <c:v>7.4583581499690063E-2</c:v>
                </c:pt>
                <c:pt idx="11">
                  <c:v>7.1211298294344499E-2</c:v>
                </c:pt>
                <c:pt idx="12">
                  <c:v>7.8838531798781489E-2</c:v>
                </c:pt>
                <c:pt idx="13">
                  <c:v>9.523125912311739E-2</c:v>
                </c:pt>
                <c:pt idx="14">
                  <c:v>0.1296004156060985</c:v>
                </c:pt>
                <c:pt idx="15">
                  <c:v>0.18664728703853151</c:v>
                </c:pt>
                <c:pt idx="16">
                  <c:v>0.26207707901700711</c:v>
                </c:pt>
                <c:pt idx="17">
                  <c:v>0.27764672039780725</c:v>
                </c:pt>
                <c:pt idx="18">
                  <c:v>0.328272272536204</c:v>
                </c:pt>
                <c:pt idx="19">
                  <c:v>0.34405605685214302</c:v>
                </c:pt>
                <c:pt idx="20">
                  <c:v>0.31557913254937059</c:v>
                </c:pt>
                <c:pt idx="21">
                  <c:v>0.27737234925633292</c:v>
                </c:pt>
                <c:pt idx="22">
                  <c:v>0.28552216127835361</c:v>
                </c:pt>
                <c:pt idx="23">
                  <c:v>0.24290392476365033</c:v>
                </c:pt>
                <c:pt idx="24">
                  <c:v>0.25679060113539176</c:v>
                </c:pt>
                <c:pt idx="25">
                  <c:v>0.29374295219053026</c:v>
                </c:pt>
                <c:pt idx="26">
                  <c:v>0.40356356700595047</c:v>
                </c:pt>
                <c:pt idx="27">
                  <c:v>0.59946621356244834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0.59411607191758931</c:v>
                </c:pt>
                <c:pt idx="32">
                  <c:v>0.59777685948653136</c:v>
                </c:pt>
                <c:pt idx="33">
                  <c:v>0.66</c:v>
                </c:pt>
                <c:pt idx="34">
                  <c:v>0.66</c:v>
                </c:pt>
                <c:pt idx="35">
                  <c:v>0.66</c:v>
                </c:pt>
                <c:pt idx="36">
                  <c:v>0.66</c:v>
                </c:pt>
                <c:pt idx="37">
                  <c:v>0.66</c:v>
                </c:pt>
                <c:pt idx="38">
                  <c:v>-2.9830833815528828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0.74186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7" cy="191368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0.73469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75668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0.23417</cdr:x>
      <cdr:y>0.85838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009671" y="5011930"/>
          <a:ext cx="732694" cy="39952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.125</a:t>
          </a:r>
        </a:p>
        <a:p xmlns:a="http://schemas.openxmlformats.org/drawingml/2006/main">
          <a:r>
            <a:rPr lang="en-US" sz="1100" baseline="0"/>
            <a:t>Wave Period: 2s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0.45682</cdr:y>
    </cdr:from>
    <cdr:to>
      <cdr:x>0.23661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67313"/>
          <a:ext cx="334945" cy="98390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0.45503</cdr:y>
    </cdr:from>
    <cdr:to>
      <cdr:x>0.23661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656847"/>
          <a:ext cx="334945" cy="99436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E9" sqref="E9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3.7088083630147755</v>
      </c>
      <c r="W4" s="16">
        <f t="shared" ref="W4:AQ4" si="0">9.81/(2*PI())*$E$9^2*TANH(2*PI()*$H9/V4)</f>
        <v>6.2439981418864345</v>
      </c>
      <c r="X4" s="16">
        <f t="shared" si="0"/>
        <v>6.1930758066314384</v>
      </c>
      <c r="Y4" s="16">
        <f t="shared" si="0"/>
        <v>6.1953625376900288</v>
      </c>
      <c r="Z4" s="16">
        <f t="shared" si="0"/>
        <v>6.1952612338322819</v>
      </c>
      <c r="AA4" s="16">
        <f t="shared" si="0"/>
        <v>6.1952657244177276</v>
      </c>
      <c r="AB4" s="16">
        <f t="shared" si="0"/>
        <v>6.1952655253649871</v>
      </c>
      <c r="AC4" s="16">
        <f t="shared" si="0"/>
        <v>6.1952655341883451</v>
      </c>
      <c r="AD4" s="16">
        <f t="shared" si="0"/>
        <v>6.195265533797234</v>
      </c>
      <c r="AE4" s="16">
        <f t="shared" si="0"/>
        <v>6.1952655338145703</v>
      </c>
      <c r="AF4" s="16">
        <f t="shared" si="0"/>
        <v>6.195265533813803</v>
      </c>
      <c r="AG4" s="16">
        <f t="shared" si="0"/>
        <v>6.1952655338138367</v>
      </c>
      <c r="AH4" s="16">
        <f t="shared" si="0"/>
        <v>6.195265533813834</v>
      </c>
      <c r="AI4" s="16">
        <f t="shared" si="0"/>
        <v>6.195265533813834</v>
      </c>
      <c r="AJ4" s="16">
        <f t="shared" si="0"/>
        <v>6.195265533813834</v>
      </c>
      <c r="AK4" s="16">
        <f t="shared" si="0"/>
        <v>6.195265533813834</v>
      </c>
      <c r="AL4" s="16">
        <f t="shared" si="0"/>
        <v>6.195265533813834</v>
      </c>
      <c r="AM4" s="16">
        <f t="shared" si="0"/>
        <v>6.195265533813834</v>
      </c>
      <c r="AN4" s="16">
        <f t="shared" si="0"/>
        <v>6.195265533813834</v>
      </c>
      <c r="AO4" s="16">
        <f t="shared" si="0"/>
        <v>6.195265533813834</v>
      </c>
      <c r="AP4" s="16">
        <f t="shared" si="0"/>
        <v>6.195265533813834</v>
      </c>
      <c r="AQ4" s="16">
        <f t="shared" si="0"/>
        <v>6.195265533813834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0.125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2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0.52216336505091021</v>
      </c>
      <c r="J9" s="21">
        <f t="shared" ref="J9:J26" si="2">IF(B9&gt;=0,0,AQ9/$E$9)</f>
        <v>3.097632766906917</v>
      </c>
      <c r="K9" s="16"/>
      <c r="L9" s="19">
        <f>E8</f>
        <v>0.125</v>
      </c>
      <c r="M9" s="16"/>
      <c r="N9" s="16">
        <f>E8</f>
        <v>0.125</v>
      </c>
      <c r="O9" s="16">
        <f>E8</f>
        <v>0.125</v>
      </c>
      <c r="P9" s="16"/>
      <c r="Q9" s="16"/>
      <c r="R9" s="16"/>
      <c r="S9" s="16"/>
      <c r="T9" s="16">
        <f>O9/H9</f>
        <v>4.5955882352941173E-2</v>
      </c>
      <c r="U9" s="16"/>
      <c r="V9" s="16">
        <f t="shared" ref="V9:V40" si="3">9.81/(2*PI())*$E$9^2*TANH(2*PI()*$H9/I$4)</f>
        <v>3.7088083630147755</v>
      </c>
      <c r="W9" s="16">
        <f t="shared" ref="W9:AQ9" si="4">9.81/(2*PI())*$E$9^2*TANH(2*PI()*$H9/V9)</f>
        <v>6.2439981418864345</v>
      </c>
      <c r="X9" s="16">
        <f t="shared" si="4"/>
        <v>6.1930758066314384</v>
      </c>
      <c r="Y9" s="16">
        <f t="shared" si="4"/>
        <v>6.1953625376900288</v>
      </c>
      <c r="Z9" s="16">
        <f t="shared" si="4"/>
        <v>6.1952612338322819</v>
      </c>
      <c r="AA9" s="16">
        <f t="shared" si="4"/>
        <v>6.1952657244177276</v>
      </c>
      <c r="AB9" s="16">
        <f t="shared" si="4"/>
        <v>6.1952655253649871</v>
      </c>
      <c r="AC9" s="16">
        <f t="shared" si="4"/>
        <v>6.1952655341883451</v>
      </c>
      <c r="AD9" s="16">
        <f t="shared" si="4"/>
        <v>6.195265533797234</v>
      </c>
      <c r="AE9" s="16">
        <f t="shared" si="4"/>
        <v>6.1952655338145703</v>
      </c>
      <c r="AF9" s="16">
        <f t="shared" si="4"/>
        <v>6.195265533813803</v>
      </c>
      <c r="AG9" s="16">
        <f t="shared" si="4"/>
        <v>6.1952655338138367</v>
      </c>
      <c r="AH9" s="16">
        <f t="shared" si="4"/>
        <v>6.195265533813834</v>
      </c>
      <c r="AI9" s="16">
        <f t="shared" si="4"/>
        <v>6.195265533813834</v>
      </c>
      <c r="AJ9" s="16">
        <f t="shared" si="4"/>
        <v>6.195265533813834</v>
      </c>
      <c r="AK9" s="16">
        <f t="shared" si="4"/>
        <v>6.195265533813834</v>
      </c>
      <c r="AL9" s="16">
        <f t="shared" si="4"/>
        <v>6.195265533813834</v>
      </c>
      <c r="AM9" s="16">
        <f t="shared" si="4"/>
        <v>6.195265533813834</v>
      </c>
      <c r="AN9" s="16">
        <f t="shared" si="4"/>
        <v>6.195265533813834</v>
      </c>
      <c r="AO9" s="16">
        <f t="shared" si="4"/>
        <v>6.195265533813834</v>
      </c>
      <c r="AP9" s="16">
        <f t="shared" si="4"/>
        <v>6.195265533813834</v>
      </c>
      <c r="AQ9" s="16">
        <f t="shared" si="4"/>
        <v>6.195265533813834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0.53152297251811231</v>
      </c>
      <c r="J10" s="21">
        <f t="shared" si="2"/>
        <v>3.0841291955994858</v>
      </c>
      <c r="K10" s="16">
        <f t="shared" ref="K10:K26" si="6">L10/L$9</f>
        <v>1.02182044628109</v>
      </c>
      <c r="L10" s="16">
        <f t="shared" ref="L10:L73" si="7">N9*(H9/H10)^0.25</f>
        <v>0.12772755578513625</v>
      </c>
      <c r="M10" s="16">
        <f t="shared" ref="M10:M41" si="8">1/(1+((64*PI()^3)/(3*9.81^2))*((S10*L9*(A10-A9))/(H10^2))*((H10^2)/($E$9^4))*(((L10/L9)^2)/(SINH(2*PI()*H10/AQ9))^3))</f>
        <v>1.0000101164858057</v>
      </c>
      <c r="N10" s="16">
        <f>M10*L10</f>
        <v>0.12772884793914135</v>
      </c>
      <c r="O10" s="16">
        <f>IF(N10/H10&gt;0.66,0.66*H10,N10)</f>
        <v>0.12772884793914135</v>
      </c>
      <c r="P10" s="16">
        <f t="shared" ref="P10:P73" si="9">K10/M10</f>
        <v>1.0218101091536247</v>
      </c>
      <c r="Q10" s="16">
        <f t="shared" ref="Q10:Q41" si="10">($E$9*R10)/(2*PI())</f>
        <v>3.9448398196355518E-2</v>
      </c>
      <c r="R10" s="16">
        <f t="shared" ref="R10:R73" si="11">(O9/2)*SQRT(9.81/H10)</f>
        <v>0.12393079796955533</v>
      </c>
      <c r="S10" s="16">
        <f t="shared" ref="S10:S73" si="12">EXP((5.213*((2.5*$I$6)/Q10)^0.195)-5.977)</f>
        <v>8.7658679131103305E-3</v>
      </c>
      <c r="T10" s="16">
        <f t="shared" ref="T10:T73" si="13">O10/H10</f>
        <v>5.1193927029715973E-2</v>
      </c>
      <c r="U10" s="16"/>
      <c r="V10" s="16">
        <f t="shared" si="3"/>
        <v>3.4725144503705505</v>
      </c>
      <c r="W10" s="16">
        <f t="shared" ref="W10:AQ10" si="14">9.81/(2*PI())*$E$9^2*TANH(2*PI()*$H10/V10)</f>
        <v>6.2437426560256908</v>
      </c>
      <c r="X10" s="16">
        <f t="shared" si="14"/>
        <v>6.163411382494389</v>
      </c>
      <c r="Y10" s="16">
        <f t="shared" si="14"/>
        <v>6.1685636128365129</v>
      </c>
      <c r="Z10" s="16">
        <f t="shared" si="14"/>
        <v>6.1682391467744164</v>
      </c>
      <c r="AA10" s="16">
        <f t="shared" si="14"/>
        <v>6.1682596044761873</v>
      </c>
      <c r="AB10" s="16">
        <f t="shared" si="14"/>
        <v>6.1682583147067396</v>
      </c>
      <c r="AC10" s="16">
        <f t="shared" si="14"/>
        <v>6.1682583960214963</v>
      </c>
      <c r="AD10" s="16">
        <f t="shared" si="14"/>
        <v>6.1682583908949304</v>
      </c>
      <c r="AE10" s="16">
        <f t="shared" si="14"/>
        <v>6.1682583912181395</v>
      </c>
      <c r="AF10" s="16">
        <f t="shared" si="14"/>
        <v>6.1682583911977638</v>
      </c>
      <c r="AG10" s="16">
        <f t="shared" si="14"/>
        <v>6.1682583911990472</v>
      </c>
      <c r="AH10" s="16">
        <f t="shared" si="14"/>
        <v>6.1682583911989655</v>
      </c>
      <c r="AI10" s="16">
        <f t="shared" si="14"/>
        <v>6.1682583911989717</v>
      </c>
      <c r="AJ10" s="16">
        <f t="shared" si="14"/>
        <v>6.1682583911989717</v>
      </c>
      <c r="AK10" s="16">
        <f t="shared" si="14"/>
        <v>6.1682583911989717</v>
      </c>
      <c r="AL10" s="16">
        <f t="shared" si="14"/>
        <v>6.1682583911989717</v>
      </c>
      <c r="AM10" s="16">
        <f t="shared" si="14"/>
        <v>6.1682583911989717</v>
      </c>
      <c r="AN10" s="16">
        <f t="shared" si="14"/>
        <v>6.1682583911989717</v>
      </c>
      <c r="AO10" s="16">
        <f t="shared" si="14"/>
        <v>6.1682583911989717</v>
      </c>
      <c r="AP10" s="16">
        <f t="shared" si="14"/>
        <v>6.1682583911989717</v>
      </c>
      <c r="AQ10" s="16">
        <f t="shared" si="14"/>
        <v>6.1682583911989717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0.54428071491355445</v>
      </c>
      <c r="J11" s="21">
        <f t="shared" si="2"/>
        <v>3.063780969140657</v>
      </c>
      <c r="K11" s="16">
        <f t="shared" si="6"/>
        <v>1.0462612847216164</v>
      </c>
      <c r="L11" s="16">
        <f t="shared" si="7"/>
        <v>0.13078266059020205</v>
      </c>
      <c r="M11" s="16">
        <f t="shared" si="8"/>
        <v>1.0000198489765395</v>
      </c>
      <c r="N11" s="16">
        <f t="shared" ref="N11:N74" si="15">M11*L11</f>
        <v>0.13078525649216388</v>
      </c>
      <c r="O11" s="16">
        <f t="shared" ref="O11:O74" si="16">IF(N11/H11&gt;0.66,0.66*H11,N11)</f>
        <v>0.13078525649216388</v>
      </c>
      <c r="P11" s="16">
        <f t="shared" si="9"/>
        <v>1.0462405179181216</v>
      </c>
      <c r="Q11" s="16">
        <f t="shared" si="10"/>
        <v>4.2260117650218941E-2</v>
      </c>
      <c r="R11" s="16">
        <f t="shared" si="11"/>
        <v>0.13276407514976818</v>
      </c>
      <c r="S11" s="16">
        <f t="shared" si="12"/>
        <v>8.6220882024672287E-3</v>
      </c>
      <c r="T11" s="16">
        <f t="shared" si="13"/>
        <v>5.76146504370766E-2</v>
      </c>
      <c r="U11" s="16"/>
      <c r="V11" s="16">
        <f t="shared" si="3"/>
        <v>3.2208956658489289</v>
      </c>
      <c r="W11" s="16">
        <f t="shared" ref="W11:AQ11" si="17">9.81/(2*PI())*$E$9^2*TANH(2*PI()*$H11/V11)</f>
        <v>6.2434608056960839</v>
      </c>
      <c r="X11" s="16">
        <f t="shared" si="17"/>
        <v>6.117049161945225</v>
      </c>
      <c r="Y11" s="16">
        <f t="shared" si="17"/>
        <v>6.1284909137296006</v>
      </c>
      <c r="Z11" s="16">
        <f t="shared" si="17"/>
        <v>6.1274796508750997</v>
      </c>
      <c r="AA11" s="16">
        <f t="shared" si="17"/>
        <v>6.1275692256460266</v>
      </c>
      <c r="AB11" s="16">
        <f t="shared" si="17"/>
        <v>6.1275612929008894</v>
      </c>
      <c r="AC11" s="16">
        <f t="shared" si="17"/>
        <v>6.1275619954371194</v>
      </c>
      <c r="AD11" s="16">
        <f t="shared" si="17"/>
        <v>6.1275619332195141</v>
      </c>
      <c r="AE11" s="16">
        <f t="shared" si="17"/>
        <v>6.1275619387295919</v>
      </c>
      <c r="AF11" s="16">
        <f t="shared" si="17"/>
        <v>6.1275619382416133</v>
      </c>
      <c r="AG11" s="16">
        <f t="shared" si="17"/>
        <v>6.1275619382848294</v>
      </c>
      <c r="AH11" s="16">
        <f t="shared" si="17"/>
        <v>6.1275619382810005</v>
      </c>
      <c r="AI11" s="16">
        <f t="shared" si="17"/>
        <v>6.1275619382813407</v>
      </c>
      <c r="AJ11" s="16">
        <f t="shared" si="17"/>
        <v>6.1275619382813105</v>
      </c>
      <c r="AK11" s="16">
        <f t="shared" si="17"/>
        <v>6.127561938281314</v>
      </c>
      <c r="AL11" s="16">
        <f t="shared" si="17"/>
        <v>6.127561938281314</v>
      </c>
      <c r="AM11" s="16">
        <f t="shared" si="17"/>
        <v>6.127561938281314</v>
      </c>
      <c r="AN11" s="16">
        <f t="shared" si="17"/>
        <v>6.127561938281314</v>
      </c>
      <c r="AO11" s="16">
        <f t="shared" si="17"/>
        <v>6.127561938281314</v>
      </c>
      <c r="AP11" s="16">
        <f t="shared" si="17"/>
        <v>6.127561938281314</v>
      </c>
      <c r="AQ11" s="16">
        <f t="shared" si="17"/>
        <v>6.127561938281314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0.5613028909781228</v>
      </c>
      <c r="J12" s="21">
        <f t="shared" si="2"/>
        <v>3.0335407213211583</v>
      </c>
      <c r="K12" s="16">
        <f t="shared" si="6"/>
        <v>1.0739446816509626</v>
      </c>
      <c r="L12" s="16">
        <f t="shared" si="7"/>
        <v>0.13424308520637032</v>
      </c>
      <c r="M12" s="16">
        <f t="shared" si="8"/>
        <v>1.0000388969032323</v>
      </c>
      <c r="N12" s="16">
        <f t="shared" si="15"/>
        <v>0.13424830684666519</v>
      </c>
      <c r="O12" s="16">
        <f t="shared" si="16"/>
        <v>0.13424830684666519</v>
      </c>
      <c r="P12" s="16">
        <f t="shared" si="9"/>
        <v>1.0739029101533855</v>
      </c>
      <c r="Q12" s="16">
        <f t="shared" si="10"/>
        <v>4.5589703489380178E-2</v>
      </c>
      <c r="R12" s="16">
        <f t="shared" si="11"/>
        <v>0.14322427756157372</v>
      </c>
      <c r="S12" s="16">
        <f t="shared" si="12"/>
        <v>8.4686045070329202E-3</v>
      </c>
      <c r="T12" s="16">
        <f t="shared" si="13"/>
        <v>6.5647093812550225E-2</v>
      </c>
      <c r="U12" s="16"/>
      <c r="V12" s="16">
        <f t="shared" si="3"/>
        <v>2.9541760551915508</v>
      </c>
      <c r="W12" s="16">
        <f t="shared" ref="W12:AQ12" si="18">9.81/(2*PI())*$E$9^2*TANH(2*PI()*$H12/V12)</f>
        <v>6.2431573902361555</v>
      </c>
      <c r="X12" s="16">
        <f t="shared" si="18"/>
        <v>6.044838121450212</v>
      </c>
      <c r="Y12" s="16">
        <f t="shared" si="18"/>
        <v>6.0697980161215428</v>
      </c>
      <c r="Z12" s="16">
        <f t="shared" si="18"/>
        <v>6.0667482173547453</v>
      </c>
      <c r="AA12" s="16">
        <f t="shared" si="18"/>
        <v>6.0671222956164463</v>
      </c>
      <c r="AB12" s="16">
        <f t="shared" si="18"/>
        <v>6.0670764337958136</v>
      </c>
      <c r="AC12" s="16">
        <f t="shared" si="18"/>
        <v>6.0670820567553223</v>
      </c>
      <c r="AD12" s="16">
        <f t="shared" si="18"/>
        <v>6.0670813673485045</v>
      </c>
      <c r="AE12" s="16">
        <f t="shared" si="18"/>
        <v>6.067081451873773</v>
      </c>
      <c r="AF12" s="16">
        <f t="shared" si="18"/>
        <v>6.0670814415104868</v>
      </c>
      <c r="AG12" s="16">
        <f t="shared" si="18"/>
        <v>6.0670814427810864</v>
      </c>
      <c r="AH12" s="16">
        <f t="shared" si="18"/>
        <v>6.0670814426253035</v>
      </c>
      <c r="AI12" s="16">
        <f t="shared" si="18"/>
        <v>6.067081442644402</v>
      </c>
      <c r="AJ12" s="16">
        <f t="shared" si="18"/>
        <v>6.0670814426420616</v>
      </c>
      <c r="AK12" s="16">
        <f t="shared" si="18"/>
        <v>6.0670814426423476</v>
      </c>
      <c r="AL12" s="16">
        <f t="shared" si="18"/>
        <v>6.067081442642313</v>
      </c>
      <c r="AM12" s="16">
        <f t="shared" si="18"/>
        <v>6.0670814426423165</v>
      </c>
      <c r="AN12" s="16">
        <f t="shared" si="18"/>
        <v>6.0670814426423165</v>
      </c>
      <c r="AO12" s="16">
        <f t="shared" si="18"/>
        <v>6.0670814426423165</v>
      </c>
      <c r="AP12" s="16">
        <f t="shared" si="18"/>
        <v>6.0670814426423165</v>
      </c>
      <c r="AQ12" s="16">
        <f t="shared" si="18"/>
        <v>6.0670814426423165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0.58346966146139445</v>
      </c>
      <c r="J13" s="21">
        <f t="shared" si="2"/>
        <v>2.9893222542363134</v>
      </c>
      <c r="K13" s="16">
        <f t="shared" si="6"/>
        <v>1.1057432200034829</v>
      </c>
      <c r="L13" s="16">
        <f t="shared" si="7"/>
        <v>0.13821790250043536</v>
      </c>
      <c r="M13" s="16">
        <f t="shared" si="8"/>
        <v>1.0000762659348506</v>
      </c>
      <c r="N13" s="16">
        <f t="shared" si="15"/>
        <v>0.13822844381798263</v>
      </c>
      <c r="O13" s="16">
        <f t="shared" si="16"/>
        <v>0.13822844381798263</v>
      </c>
      <c r="P13" s="16">
        <f t="shared" si="9"/>
        <v>1.1056588958941618</v>
      </c>
      <c r="Q13" s="16">
        <f t="shared" si="10"/>
        <v>4.9605263209769553E-2</v>
      </c>
      <c r="R13" s="16">
        <f t="shared" si="11"/>
        <v>0.15583953047920007</v>
      </c>
      <c r="S13" s="16">
        <f t="shared" si="12"/>
        <v>8.3035464579870877E-3</v>
      </c>
      <c r="T13" s="16">
        <f t="shared" si="13"/>
        <v>7.5949694405484963E-2</v>
      </c>
      <c r="U13" s="16"/>
      <c r="V13" s="16">
        <f t="shared" si="3"/>
        <v>2.672811272418079</v>
      </c>
      <c r="W13" s="16">
        <f t="shared" ref="W13:AQ13" si="19">9.81/(2*PI())*$E$9^2*TANH(2*PI()*$H13/V13)</f>
        <v>6.2428394148152666</v>
      </c>
      <c r="X13" s="16">
        <f t="shared" si="19"/>
        <v>5.9329666284298472</v>
      </c>
      <c r="Y13" s="16">
        <f t="shared" si="19"/>
        <v>5.9862212911141501</v>
      </c>
      <c r="Z13" s="16">
        <f t="shared" si="19"/>
        <v>5.9773783144216424</v>
      </c>
      <c r="AA13" s="16">
        <f t="shared" si="19"/>
        <v>5.9788558488413264</v>
      </c>
      <c r="AB13" s="16">
        <f t="shared" si="19"/>
        <v>5.9786092264181336</v>
      </c>
      <c r="AC13" s="16">
        <f t="shared" si="19"/>
        <v>5.9786503984060291</v>
      </c>
      <c r="AD13" s="16">
        <f t="shared" si="19"/>
        <v>5.9786435252103267</v>
      </c>
      <c r="AE13" s="16">
        <f t="shared" si="19"/>
        <v>5.9786446726177473</v>
      </c>
      <c r="AF13" s="16">
        <f t="shared" si="19"/>
        <v>5.9786444810703516</v>
      </c>
      <c r="AG13" s="16">
        <f t="shared" si="19"/>
        <v>5.9786445130471444</v>
      </c>
      <c r="AH13" s="16">
        <f t="shared" si="19"/>
        <v>5.9786445077089603</v>
      </c>
      <c r="AI13" s="16">
        <f t="shared" si="19"/>
        <v>5.9786445086001123</v>
      </c>
      <c r="AJ13" s="16">
        <f t="shared" si="19"/>
        <v>5.9786445084513451</v>
      </c>
      <c r="AK13" s="16">
        <f t="shared" si="19"/>
        <v>5.9786445084761786</v>
      </c>
      <c r="AL13" s="16">
        <f t="shared" si="19"/>
        <v>5.9786445084720334</v>
      </c>
      <c r="AM13" s="16">
        <f t="shared" si="19"/>
        <v>5.9786445084727262</v>
      </c>
      <c r="AN13" s="16">
        <f t="shared" si="19"/>
        <v>5.9786445084726099</v>
      </c>
      <c r="AO13" s="16">
        <f t="shared" si="19"/>
        <v>5.9786445084726294</v>
      </c>
      <c r="AP13" s="16">
        <f t="shared" si="19"/>
        <v>5.9786445084726259</v>
      </c>
      <c r="AQ13" s="16">
        <f t="shared" si="19"/>
        <v>5.9786445084726267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0.61157766246215173</v>
      </c>
      <c r="J14" s="21">
        <f t="shared" si="2"/>
        <v>2.9258024799773987</v>
      </c>
      <c r="K14" s="16">
        <f t="shared" si="6"/>
        <v>1.1429180219425261</v>
      </c>
      <c r="L14" s="16">
        <f t="shared" si="7"/>
        <v>0.14286475274281576</v>
      </c>
      <c r="M14" s="16">
        <f t="shared" si="8"/>
        <v>1.000150214808996</v>
      </c>
      <c r="N14" s="16">
        <f t="shared" si="15"/>
        <v>0.14288621314436128</v>
      </c>
      <c r="O14" s="16">
        <f t="shared" si="16"/>
        <v>0.14288621314436128</v>
      </c>
      <c r="P14" s="16">
        <f t="shared" si="9"/>
        <v>1.1427463645156495</v>
      </c>
      <c r="Q14" s="16">
        <f t="shared" si="10"/>
        <v>5.4559666924246422E-2</v>
      </c>
      <c r="R14" s="16">
        <f t="shared" si="11"/>
        <v>0.17140424879151858</v>
      </c>
      <c r="S14" s="16">
        <f t="shared" si="12"/>
        <v>8.1243904345322943E-3</v>
      </c>
      <c r="T14" s="16">
        <f t="shared" si="13"/>
        <v>8.9583832692389523E-2</v>
      </c>
      <c r="U14" s="16"/>
      <c r="V14" s="16">
        <f t="shared" si="3"/>
        <v>2.3775050678412901</v>
      </c>
      <c r="W14" s="16">
        <f t="shared" ref="W14:AQ14" si="20">9.81/(2*PI())*$E$9^2*TANH(2*PI()*$H14/V14)</f>
        <v>6.2425160086119327</v>
      </c>
      <c r="X14" s="16">
        <f t="shared" si="20"/>
        <v>5.7610843765339865</v>
      </c>
      <c r="Y14" s="16">
        <f t="shared" si="20"/>
        <v>5.8716131948743042</v>
      </c>
      <c r="Z14" s="16">
        <f t="shared" si="20"/>
        <v>5.8471308160021689</v>
      </c>
      <c r="AA14" s="16">
        <f t="shared" si="20"/>
        <v>5.8526029270238533</v>
      </c>
      <c r="AB14" s="16">
        <f t="shared" si="20"/>
        <v>5.8513822353264784</v>
      </c>
      <c r="AC14" s="16">
        <f t="shared" si="20"/>
        <v>5.8516546609975695</v>
      </c>
      <c r="AD14" s="16">
        <f t="shared" si="20"/>
        <v>5.8515938688454403</v>
      </c>
      <c r="AE14" s="16">
        <f t="shared" si="20"/>
        <v>5.8516074349920268</v>
      </c>
      <c r="AF14" s="16">
        <f t="shared" si="20"/>
        <v>5.8516044076368736</v>
      </c>
      <c r="AG14" s="16">
        <f t="shared" si="20"/>
        <v>5.8516050832074296</v>
      </c>
      <c r="AH14" s="16">
        <f t="shared" si="20"/>
        <v>5.851604932450269</v>
      </c>
      <c r="AI14" s="16">
        <f t="shared" si="20"/>
        <v>5.851604966092534</v>
      </c>
      <c r="AJ14" s="16">
        <f t="shared" si="20"/>
        <v>5.8516049585850833</v>
      </c>
      <c r="AK14" s="16">
        <f t="shared" si="20"/>
        <v>5.851604960260409</v>
      </c>
      <c r="AL14" s="16">
        <f t="shared" si="20"/>
        <v>5.8516049598865525</v>
      </c>
      <c r="AM14" s="16">
        <f t="shared" si="20"/>
        <v>5.85160495996998</v>
      </c>
      <c r="AN14" s="16">
        <f t="shared" si="20"/>
        <v>5.8516049599513629</v>
      </c>
      <c r="AO14" s="16">
        <f t="shared" si="20"/>
        <v>5.851604959955516</v>
      </c>
      <c r="AP14" s="16">
        <f t="shared" si="20"/>
        <v>5.8516049599545914</v>
      </c>
      <c r="AQ14" s="16">
        <f t="shared" si="20"/>
        <v>5.8516049599547975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0.64623822365528816</v>
      </c>
      <c r="J15" s="21">
        <f t="shared" si="2"/>
        <v>2.8361715828567511</v>
      </c>
      <c r="K15" s="16">
        <f t="shared" si="6"/>
        <v>1.1873816787708424</v>
      </c>
      <c r="L15" s="16">
        <f t="shared" si="7"/>
        <v>0.14842270984635531</v>
      </c>
      <c r="M15" s="16">
        <f t="shared" si="8"/>
        <v>1.0002995529553891</v>
      </c>
      <c r="N15" s="16">
        <f t="shared" si="15"/>
        <v>0.14846717030773662</v>
      </c>
      <c r="O15" s="16">
        <f t="shared" si="16"/>
        <v>0.14846717030773662</v>
      </c>
      <c r="P15" s="16">
        <f t="shared" si="9"/>
        <v>1.187026101593986</v>
      </c>
      <c r="Q15" s="16">
        <f t="shared" si="10"/>
        <v>6.0853376189264591E-2</v>
      </c>
      <c r="R15" s="16">
        <f t="shared" si="11"/>
        <v>0.19117651958232967</v>
      </c>
      <c r="S15" s="16">
        <f t="shared" si="12"/>
        <v>7.9275990718971779E-3</v>
      </c>
      <c r="T15" s="16">
        <f t="shared" si="13"/>
        <v>0.10837019730491723</v>
      </c>
      <c r="U15" s="16"/>
      <c r="V15" s="16">
        <f t="shared" si="3"/>
        <v>2.069218826646821</v>
      </c>
      <c r="W15" s="16">
        <f t="shared" ref="W15:AQ15" si="21">9.81/(2*PI())*$E$9^2*TANH(2*PI()*$H15/V15)</f>
        <v>6.2421981184979565</v>
      </c>
      <c r="X15" s="16">
        <f t="shared" si="21"/>
        <v>5.5003462363221711</v>
      </c>
      <c r="Y15" s="16">
        <f t="shared" si="21"/>
        <v>5.7220419268634286</v>
      </c>
      <c r="Z15" s="16">
        <f t="shared" si="21"/>
        <v>5.6577599612378542</v>
      </c>
      <c r="AA15" s="16">
        <f t="shared" si="21"/>
        <v>5.6766042433420356</v>
      </c>
      <c r="AB15" s="16">
        <f t="shared" si="21"/>
        <v>5.6710965471044785</v>
      </c>
      <c r="AC15" s="16">
        <f t="shared" si="21"/>
        <v>5.6727077419534959</v>
      </c>
      <c r="AD15" s="16">
        <f t="shared" si="21"/>
        <v>5.6722365331417359</v>
      </c>
      <c r="AE15" s="16">
        <f t="shared" si="21"/>
        <v>5.6723743529916524</v>
      </c>
      <c r="AF15" s="16">
        <f t="shared" si="21"/>
        <v>5.672334044134419</v>
      </c>
      <c r="AG15" s="16">
        <f t="shared" si="21"/>
        <v>5.6723458335431287</v>
      </c>
      <c r="AH15" s="16">
        <f t="shared" si="21"/>
        <v>5.6723423854202375</v>
      </c>
      <c r="AI15" s="16">
        <f t="shared" si="21"/>
        <v>5.6723433939150976</v>
      </c>
      <c r="AJ15" s="16">
        <f t="shared" si="21"/>
        <v>5.6723430989541148</v>
      </c>
      <c r="AK15" s="16">
        <f t="shared" si="21"/>
        <v>5.6723431852232551</v>
      </c>
      <c r="AL15" s="16">
        <f t="shared" si="21"/>
        <v>5.6723431599915637</v>
      </c>
      <c r="AM15" s="16">
        <f t="shared" si="21"/>
        <v>5.6723431673712392</v>
      </c>
      <c r="AN15" s="16">
        <f t="shared" si="21"/>
        <v>5.6723431652128573</v>
      </c>
      <c r="AO15" s="16">
        <f t="shared" si="21"/>
        <v>5.6723431658441337</v>
      </c>
      <c r="AP15" s="16">
        <f t="shared" si="21"/>
        <v>5.6723431656594991</v>
      </c>
      <c r="AQ15" s="16">
        <f t="shared" si="21"/>
        <v>5.6723431657135022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0.67317019786215226</v>
      </c>
      <c r="J16" s="21">
        <f t="shared" si="2"/>
        <v>2.7576944018135228</v>
      </c>
      <c r="K16" s="16">
        <f t="shared" si="6"/>
        <v>1.2226737895503552</v>
      </c>
      <c r="L16" s="16">
        <f t="shared" si="7"/>
        <v>0.1528342236937944</v>
      </c>
      <c r="M16" s="16">
        <f t="shared" si="8"/>
        <v>1.0005383878984884</v>
      </c>
      <c r="N16" s="16">
        <f t="shared" si="15"/>
        <v>0.15291650779030599</v>
      </c>
      <c r="O16" s="16">
        <f t="shared" si="16"/>
        <v>0.15291650779030599</v>
      </c>
      <c r="P16" s="16">
        <f t="shared" si="9"/>
        <v>1.2220158709936515</v>
      </c>
      <c r="Q16" s="16">
        <f t="shared" si="10"/>
        <v>6.7004682126871884E-2</v>
      </c>
      <c r="R16" s="16">
        <f t="shared" si="11"/>
        <v>0.21050141712590001</v>
      </c>
      <c r="S16" s="16">
        <f t="shared" si="12"/>
        <v>7.7613094634201617E-3</v>
      </c>
      <c r="T16" s="16">
        <f t="shared" si="13"/>
        <v>0.12534139982811968</v>
      </c>
      <c r="U16" s="16"/>
      <c r="V16" s="16">
        <f t="shared" si="3"/>
        <v>1.8570755791806286</v>
      </c>
      <c r="W16" s="16">
        <f t="shared" ref="W16:AQ16" si="22">9.81/(2*PI())*$E$9^2*TANH(2*PI()*$H16/V16)</f>
        <v>6.241995262358194</v>
      </c>
      <c r="X16" s="16">
        <f t="shared" si="22"/>
        <v>5.2585729604591389</v>
      </c>
      <c r="Y16" s="16">
        <f t="shared" si="22"/>
        <v>5.6032752180684318</v>
      </c>
      <c r="Z16" s="16">
        <f t="shared" si="22"/>
        <v>5.4848444170583708</v>
      </c>
      <c r="AA16" s="16">
        <f t="shared" si="22"/>
        <v>5.5259540420993583</v>
      </c>
      <c r="AB16" s="16">
        <f t="shared" si="22"/>
        <v>5.5117280480427686</v>
      </c>
      <c r="AC16" s="16">
        <f t="shared" si="22"/>
        <v>5.5166564788498613</v>
      </c>
      <c r="AD16" s="16">
        <f t="shared" si="22"/>
        <v>5.514949732943986</v>
      </c>
      <c r="AE16" s="16">
        <f t="shared" si="22"/>
        <v>5.5155408681777018</v>
      </c>
      <c r="AF16" s="16">
        <f t="shared" si="22"/>
        <v>5.5153361365903573</v>
      </c>
      <c r="AG16" s="16">
        <f t="shared" si="22"/>
        <v>5.5154070436999074</v>
      </c>
      <c r="AH16" s="16">
        <f t="shared" si="22"/>
        <v>5.5153824857383897</v>
      </c>
      <c r="AI16" s="16">
        <f t="shared" si="22"/>
        <v>5.5153909911566803</v>
      </c>
      <c r="AJ16" s="16">
        <f t="shared" si="22"/>
        <v>5.5153880453872457</v>
      </c>
      <c r="AK16" s="16">
        <f t="shared" si="22"/>
        <v>5.5153890656262581</v>
      </c>
      <c r="AL16" s="16">
        <f t="shared" si="22"/>
        <v>5.5153887122762821</v>
      </c>
      <c r="AM16" s="16">
        <f t="shared" si="22"/>
        <v>5.5153888346556537</v>
      </c>
      <c r="AN16" s="16">
        <f t="shared" si="22"/>
        <v>5.5153887922707332</v>
      </c>
      <c r="AO16" s="16">
        <f t="shared" si="22"/>
        <v>5.5153888069503436</v>
      </c>
      <c r="AP16" s="16">
        <f t="shared" si="22"/>
        <v>5.5153888018662016</v>
      </c>
      <c r="AQ16" s="16">
        <f t="shared" si="22"/>
        <v>5.5153888036270455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0.67892922718664406</v>
      </c>
      <c r="J17" s="21">
        <f t="shared" si="2"/>
        <v>2.7398727572238646</v>
      </c>
      <c r="K17" s="16">
        <f t="shared" si="6"/>
        <v>1.2309703026401384</v>
      </c>
      <c r="L17" s="16">
        <f t="shared" si="7"/>
        <v>0.1538712878300173</v>
      </c>
      <c r="M17" s="16">
        <f t="shared" si="8"/>
        <v>1.0009836973264099</v>
      </c>
      <c r="N17" s="16">
        <f t="shared" si="15"/>
        <v>0.15402265060446693</v>
      </c>
      <c r="O17" s="16">
        <f t="shared" si="16"/>
        <v>0.15402265060446693</v>
      </c>
      <c r="P17" s="16">
        <f t="shared" si="9"/>
        <v>1.2297605904352031</v>
      </c>
      <c r="Q17" s="16">
        <f t="shared" si="10"/>
        <v>6.9877205084986627E-2</v>
      </c>
      <c r="R17" s="16">
        <f t="shared" si="11"/>
        <v>0.21952571414838132</v>
      </c>
      <c r="S17" s="16">
        <f t="shared" si="12"/>
        <v>7.6908690523396737E-3</v>
      </c>
      <c r="T17" s="16">
        <f t="shared" si="13"/>
        <v>0.12943079882728314</v>
      </c>
      <c r="U17" s="16"/>
      <c r="V17" s="16">
        <f t="shared" si="3"/>
        <v>1.8140555627292949</v>
      </c>
      <c r="W17" s="16">
        <f t="shared" ref="W17:AQ17" si="23">9.81/(2*PI())*$E$9^2*TANH(2*PI()*$H17/V17)</f>
        <v>6.2419559688490045</v>
      </c>
      <c r="X17" s="16">
        <f t="shared" si="23"/>
        <v>5.2022896043257294</v>
      </c>
      <c r="Y17" s="16">
        <f t="shared" si="23"/>
        <v>5.577890918434365</v>
      </c>
      <c r="Z17" s="16">
        <f t="shared" si="23"/>
        <v>5.4445057577837765</v>
      </c>
      <c r="AA17" s="16">
        <f t="shared" si="23"/>
        <v>5.4923400581688631</v>
      </c>
      <c r="AB17" s="16">
        <f t="shared" si="23"/>
        <v>5.4752364199912673</v>
      </c>
      <c r="AC17" s="16">
        <f t="shared" si="23"/>
        <v>5.4813588682662084</v>
      </c>
      <c r="AD17" s="16">
        <f t="shared" si="23"/>
        <v>5.4791681274094284</v>
      </c>
      <c r="AE17" s="16">
        <f t="shared" si="23"/>
        <v>5.4799521317479396</v>
      </c>
      <c r="AF17" s="16">
        <f t="shared" si="23"/>
        <v>5.4796715729126948</v>
      </c>
      <c r="AG17" s="16">
        <f t="shared" si="23"/>
        <v>5.4797719737431967</v>
      </c>
      <c r="AH17" s="16">
        <f t="shared" si="23"/>
        <v>5.4797360445185905</v>
      </c>
      <c r="AI17" s="16">
        <f t="shared" si="23"/>
        <v>5.4797489021032328</v>
      </c>
      <c r="AJ17" s="16">
        <f t="shared" si="23"/>
        <v>5.479744300908874</v>
      </c>
      <c r="AK17" s="16">
        <f t="shared" si="23"/>
        <v>5.4797459474853056</v>
      </c>
      <c r="AL17" s="16">
        <f t="shared" si="23"/>
        <v>5.4797453582440241</v>
      </c>
      <c r="AM17" s="16">
        <f t="shared" si="23"/>
        <v>5.4797455691090011</v>
      </c>
      <c r="AN17" s="16">
        <f t="shared" si="23"/>
        <v>5.4797454936491858</v>
      </c>
      <c r="AO17" s="16">
        <f t="shared" si="23"/>
        <v>5.47974552065312</v>
      </c>
      <c r="AP17" s="16">
        <f t="shared" si="23"/>
        <v>5.4797455109895328</v>
      </c>
      <c r="AQ17" s="16">
        <f t="shared" si="23"/>
        <v>5.4797455144477292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0.64122271016986954</v>
      </c>
      <c r="J18" s="21">
        <f t="shared" si="2"/>
        <v>2.8499216855749259</v>
      </c>
      <c r="K18" s="16">
        <f t="shared" si="6"/>
        <v>1.1831214042367582</v>
      </c>
      <c r="L18" s="16">
        <f t="shared" si="7"/>
        <v>0.14789017552959477</v>
      </c>
      <c r="M18" s="16">
        <f t="shared" si="8"/>
        <v>1.0002310213916434</v>
      </c>
      <c r="N18" s="16">
        <f t="shared" si="15"/>
        <v>0.14792434132375601</v>
      </c>
      <c r="O18" s="16">
        <f t="shared" si="16"/>
        <v>0.14792434132375601</v>
      </c>
      <c r="P18" s="16">
        <f t="shared" si="9"/>
        <v>1.1828481410131184</v>
      </c>
      <c r="Q18" s="16">
        <f t="shared" si="10"/>
        <v>6.4889616947735415E-2</v>
      </c>
      <c r="R18" s="16">
        <f t="shared" si="11"/>
        <v>0.20385674389726133</v>
      </c>
      <c r="S18" s="16">
        <f t="shared" si="12"/>
        <v>7.8159624111510829E-3</v>
      </c>
      <c r="T18" s="16">
        <f t="shared" si="13"/>
        <v>0.10566024380268287</v>
      </c>
      <c r="U18" s="16"/>
      <c r="V18" s="16">
        <f t="shared" si="3"/>
        <v>2.1110323601021839</v>
      </c>
      <c r="W18" s="16">
        <f t="shared" ref="W18:AQ18" si="24">9.81/(2*PI())*$E$9^2*TANH(2*PI()*$H18/V18)</f>
        <v>6.24223975466042</v>
      </c>
      <c r="X18" s="16">
        <f t="shared" si="24"/>
        <v>5.5415298089174376</v>
      </c>
      <c r="Y18" s="16">
        <f t="shared" si="24"/>
        <v>5.7440291356460662</v>
      </c>
      <c r="Z18" s="16">
        <f t="shared" si="24"/>
        <v>5.6873242516810949</v>
      </c>
      <c r="AA18" s="16">
        <f t="shared" si="24"/>
        <v>5.7033761557805329</v>
      </c>
      <c r="AB18" s="16">
        <f t="shared" si="24"/>
        <v>5.6988452999012731</v>
      </c>
      <c r="AC18" s="16">
        <f t="shared" si="24"/>
        <v>5.7001252516255549</v>
      </c>
      <c r="AD18" s="16">
        <f t="shared" si="24"/>
        <v>5.6997637536846719</v>
      </c>
      <c r="AE18" s="16">
        <f t="shared" si="24"/>
        <v>5.699865858602517</v>
      </c>
      <c r="AF18" s="16">
        <f t="shared" si="24"/>
        <v>5.6998370196541606</v>
      </c>
      <c r="AG18" s="16">
        <f t="shared" si="24"/>
        <v>5.6998451650924702</v>
      </c>
      <c r="AH18" s="16">
        <f t="shared" si="24"/>
        <v>5.6998428644514751</v>
      </c>
      <c r="AI18" s="16">
        <f t="shared" si="24"/>
        <v>5.6998435142570472</v>
      </c>
      <c r="AJ18" s="16">
        <f t="shared" si="24"/>
        <v>5.6998433307224454</v>
      </c>
      <c r="AK18" s="16">
        <f t="shared" si="24"/>
        <v>5.6998433825609531</v>
      </c>
      <c r="AL18" s="16">
        <f t="shared" si="24"/>
        <v>5.6998433679194047</v>
      </c>
      <c r="AM18" s="16">
        <f t="shared" si="24"/>
        <v>5.6998433720548434</v>
      </c>
      <c r="AN18" s="16">
        <f t="shared" si="24"/>
        <v>5.699843370886807</v>
      </c>
      <c r="AO18" s="16">
        <f t="shared" si="24"/>
        <v>5.6998433712167129</v>
      </c>
      <c r="AP18" s="16">
        <f t="shared" si="24"/>
        <v>5.6998433711235323</v>
      </c>
      <c r="AQ18" s="16">
        <f t="shared" si="24"/>
        <v>5.6998433711498517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0.58018673947251198</v>
      </c>
      <c r="J19" s="21">
        <f t="shared" si="2"/>
        <v>2.9962032078027327</v>
      </c>
      <c r="K19" s="16">
        <f t="shared" si="6"/>
        <v>1.1037448950859594</v>
      </c>
      <c r="L19" s="16">
        <f t="shared" si="7"/>
        <v>0.13796811188574493</v>
      </c>
      <c r="M19" s="16">
        <f t="shared" si="8"/>
        <v>1.0000834532597738</v>
      </c>
      <c r="N19" s="16">
        <f t="shared" si="15"/>
        <v>0.13797962577442663</v>
      </c>
      <c r="O19" s="16">
        <f t="shared" si="16"/>
        <v>0.13797962577442663</v>
      </c>
      <c r="P19" s="16">
        <f t="shared" si="9"/>
        <v>1.1036527916628367</v>
      </c>
      <c r="Q19" s="16">
        <f t="shared" si="10"/>
        <v>5.4213620988059041E-2</v>
      </c>
      <c r="R19" s="16">
        <f t="shared" si="11"/>
        <v>0.1703171134205877</v>
      </c>
      <c r="S19" s="16">
        <f t="shared" si="12"/>
        <v>8.1361407010601301E-3</v>
      </c>
      <c r="T19" s="16">
        <f t="shared" si="13"/>
        <v>7.4583581499690063E-2</v>
      </c>
      <c r="U19" s="16"/>
      <c r="V19" s="16">
        <f t="shared" si="3"/>
        <v>2.7111500411764866</v>
      </c>
      <c r="W19" s="16">
        <f t="shared" ref="W19:AQ19" si="25">9.81/(2*PI())*$E$9^2*TANH(2*PI()*$H19/V19)</f>
        <v>6.2428823449155937</v>
      </c>
      <c r="X19" s="16">
        <f t="shared" si="25"/>
        <v>5.9508273416409763</v>
      </c>
      <c r="Y19" s="16">
        <f t="shared" si="25"/>
        <v>5.9990345845336304</v>
      </c>
      <c r="Z19" s="16">
        <f t="shared" si="25"/>
        <v>5.9913424211509128</v>
      </c>
      <c r="AA19" s="16">
        <f t="shared" si="25"/>
        <v>5.9925770260013378</v>
      </c>
      <c r="AB19" s="16">
        <f t="shared" si="25"/>
        <v>5.992379053551832</v>
      </c>
      <c r="AC19" s="16">
        <f t="shared" si="25"/>
        <v>5.9924108037359396</v>
      </c>
      <c r="AD19" s="16">
        <f t="shared" si="25"/>
        <v>5.9924057118652714</v>
      </c>
      <c r="AE19" s="16">
        <f t="shared" si="25"/>
        <v>5.9924065284667156</v>
      </c>
      <c r="AF19" s="16">
        <f t="shared" si="25"/>
        <v>5.992406397505512</v>
      </c>
      <c r="AG19" s="16">
        <f t="shared" si="25"/>
        <v>5.9924064185082164</v>
      </c>
      <c r="AH19" s="16">
        <f t="shared" si="25"/>
        <v>5.9924064151399392</v>
      </c>
      <c r="AI19" s="16">
        <f t="shared" si="25"/>
        <v>5.9924064156801231</v>
      </c>
      <c r="AJ19" s="16">
        <f t="shared" si="25"/>
        <v>5.9924064155934902</v>
      </c>
      <c r="AK19" s="16">
        <f t="shared" si="25"/>
        <v>5.9924064156073857</v>
      </c>
      <c r="AL19" s="16">
        <f t="shared" si="25"/>
        <v>5.9924064156051564</v>
      </c>
      <c r="AM19" s="16">
        <f t="shared" si="25"/>
        <v>5.9924064156055143</v>
      </c>
      <c r="AN19" s="16">
        <f t="shared" si="25"/>
        <v>5.9924064156054566</v>
      </c>
      <c r="AO19" s="16">
        <f t="shared" si="25"/>
        <v>5.9924064156054655</v>
      </c>
      <c r="AP19" s="16">
        <f t="shared" si="25"/>
        <v>5.9924064156054637</v>
      </c>
      <c r="AQ19" s="16">
        <f t="shared" si="25"/>
        <v>5.9924064156054655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0.57292844858364245</v>
      </c>
      <c r="J20" s="21">
        <f t="shared" si="2"/>
        <v>3.011010296307127</v>
      </c>
      <c r="K20" s="16">
        <f t="shared" si="6"/>
        <v>1.0936354381074112</v>
      </c>
      <c r="L20" s="16">
        <f t="shared" si="7"/>
        <v>0.13670442976342639</v>
      </c>
      <c r="M20" s="16">
        <f t="shared" si="8"/>
        <v>1.0001555396686985</v>
      </c>
      <c r="N20" s="16">
        <f t="shared" si="15"/>
        <v>0.13672569272514143</v>
      </c>
      <c r="O20" s="16">
        <f t="shared" si="16"/>
        <v>0.13672569272514143</v>
      </c>
      <c r="P20" s="16">
        <f t="shared" si="9"/>
        <v>1.0934653608674485</v>
      </c>
      <c r="Q20" s="16">
        <f t="shared" si="10"/>
        <v>4.9638538221052964E-2</v>
      </c>
      <c r="R20" s="16">
        <f t="shared" si="11"/>
        <v>0.15594406701019614</v>
      </c>
      <c r="S20" s="16">
        <f t="shared" si="12"/>
        <v>8.3022589820764894E-3</v>
      </c>
      <c r="T20" s="16">
        <f t="shared" si="13"/>
        <v>7.1211298294344499E-2</v>
      </c>
      <c r="U20" s="16"/>
      <c r="V20" s="16">
        <f t="shared" si="3"/>
        <v>2.7996311679194807</v>
      </c>
      <c r="W20" s="16">
        <f t="shared" ref="W20:AQ20" si="26">9.81/(2*PI())*$E$9^2*TANH(2*PI()*$H20/V20)</f>
        <v>6.2429819969610234</v>
      </c>
      <c r="X20" s="16">
        <f t="shared" si="26"/>
        <v>5.9887110098021505</v>
      </c>
      <c r="Y20" s="16">
        <f t="shared" si="26"/>
        <v>6.0268539184251404</v>
      </c>
      <c r="Z20" s="16">
        <f t="shared" si="26"/>
        <v>6.0213150917685434</v>
      </c>
      <c r="AA20" s="16">
        <f t="shared" si="26"/>
        <v>6.0221234835463386</v>
      </c>
      <c r="AB20" s="16">
        <f t="shared" si="26"/>
        <v>6.0220055850232654</v>
      </c>
      <c r="AC20" s="16">
        <f t="shared" si="26"/>
        <v>6.0220227815698273</v>
      </c>
      <c r="AD20" s="16">
        <f t="shared" si="26"/>
        <v>6.0220202733398764</v>
      </c>
      <c r="AE20" s="16">
        <f t="shared" si="26"/>
        <v>6.0220206391826219</v>
      </c>
      <c r="AF20" s="16">
        <f t="shared" si="26"/>
        <v>6.0220205858219353</v>
      </c>
      <c r="AG20" s="16">
        <f t="shared" si="26"/>
        <v>6.0220205936049593</v>
      </c>
      <c r="AH20" s="16">
        <f t="shared" si="26"/>
        <v>6.0220205924697519</v>
      </c>
      <c r="AI20" s="16">
        <f t="shared" si="26"/>
        <v>6.0220205926353296</v>
      </c>
      <c r="AJ20" s="16">
        <f t="shared" si="26"/>
        <v>6.0220205926111801</v>
      </c>
      <c r="AK20" s="16">
        <f t="shared" si="26"/>
        <v>6.0220205926147026</v>
      </c>
      <c r="AL20" s="16">
        <f t="shared" si="26"/>
        <v>6.0220205926141883</v>
      </c>
      <c r="AM20" s="16">
        <f t="shared" si="26"/>
        <v>6.0220205926142638</v>
      </c>
      <c r="AN20" s="16">
        <f t="shared" si="26"/>
        <v>6.0220205926142514</v>
      </c>
      <c r="AO20" s="16">
        <f t="shared" si="26"/>
        <v>6.022020592614254</v>
      </c>
      <c r="AP20" s="16">
        <f t="shared" si="26"/>
        <v>6.0220205926142523</v>
      </c>
      <c r="AQ20" s="16">
        <f t="shared" si="26"/>
        <v>6.022020592614254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0.58917736344107896</v>
      </c>
      <c r="J21" s="21">
        <f t="shared" si="2"/>
        <v>2.9770891011019391</v>
      </c>
      <c r="K21" s="16">
        <f t="shared" si="6"/>
        <v>1.1162773430244259</v>
      </c>
      <c r="L21" s="16">
        <f t="shared" si="7"/>
        <v>0.13953466787805324</v>
      </c>
      <c r="M21" s="16">
        <f t="shared" si="8"/>
        <v>1.0000683228471818</v>
      </c>
      <c r="N21" s="16">
        <f t="shared" si="15"/>
        <v>0.13954420128384323</v>
      </c>
      <c r="O21" s="16">
        <f t="shared" si="16"/>
        <v>0.13954420128384323</v>
      </c>
      <c r="P21" s="16">
        <f t="shared" si="9"/>
        <v>1.1162010809885454</v>
      </c>
      <c r="Q21" s="16">
        <f t="shared" si="10"/>
        <v>5.1229266131064946E-2</v>
      </c>
      <c r="R21" s="16">
        <f t="shared" si="11"/>
        <v>0.16094148612615003</v>
      </c>
      <c r="S21" s="16">
        <f t="shared" si="12"/>
        <v>8.2421099576434273E-3</v>
      </c>
      <c r="T21" s="16">
        <f t="shared" si="13"/>
        <v>7.8838531798781489E-2</v>
      </c>
      <c r="U21" s="16"/>
      <c r="V21" s="16">
        <f t="shared" si="3"/>
        <v>2.6083627052816252</v>
      </c>
      <c r="W21" s="16">
        <f t="shared" ref="W21:AQ21" si="27">9.81/(2*PI())*$E$9^2*TANH(2*PI()*$H21/V21)</f>
        <v>6.2427676561120053</v>
      </c>
      <c r="X21" s="16">
        <f t="shared" si="27"/>
        <v>5.9008269369114581</v>
      </c>
      <c r="Y21" s="16">
        <f t="shared" si="27"/>
        <v>5.9636266629069068</v>
      </c>
      <c r="Z21" s="16">
        <f t="shared" si="27"/>
        <v>5.9524909390748633</v>
      </c>
      <c r="AA21" s="16">
        <f t="shared" si="27"/>
        <v>5.9544790669652121</v>
      </c>
      <c r="AB21" s="16">
        <f t="shared" si="27"/>
        <v>5.9541245394346252</v>
      </c>
      <c r="AC21" s="16">
        <f t="shared" si="27"/>
        <v>5.9541877731450841</v>
      </c>
      <c r="AD21" s="16">
        <f t="shared" si="27"/>
        <v>5.9541764951791327</v>
      </c>
      <c r="AE21" s="16">
        <f t="shared" si="27"/>
        <v>5.9541785066597424</v>
      </c>
      <c r="AF21" s="16">
        <f t="shared" si="27"/>
        <v>5.9541781479027351</v>
      </c>
      <c r="AG21" s="16">
        <f t="shared" si="27"/>
        <v>5.9541782118887454</v>
      </c>
      <c r="AH21" s="16">
        <f t="shared" si="27"/>
        <v>5.9541782004765365</v>
      </c>
      <c r="AI21" s="16">
        <f t="shared" si="27"/>
        <v>5.954178202511959</v>
      </c>
      <c r="AJ21" s="16">
        <f t="shared" si="27"/>
        <v>5.9541782021489311</v>
      </c>
      <c r="AK21" s="16">
        <f t="shared" si="27"/>
        <v>5.9541782022136793</v>
      </c>
      <c r="AL21" s="16">
        <f t="shared" si="27"/>
        <v>5.9541782022021321</v>
      </c>
      <c r="AM21" s="16">
        <f t="shared" si="27"/>
        <v>5.9541782022041909</v>
      </c>
      <c r="AN21" s="16">
        <f t="shared" si="27"/>
        <v>5.9541782022038232</v>
      </c>
      <c r="AO21" s="16">
        <f t="shared" si="27"/>
        <v>5.954178202203888</v>
      </c>
      <c r="AP21" s="16">
        <f t="shared" si="27"/>
        <v>5.9541782022038774</v>
      </c>
      <c r="AQ21" s="16">
        <f t="shared" si="27"/>
        <v>5.9541782022038783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0.62208227849480147</v>
      </c>
      <c r="J22" s="21">
        <f t="shared" si="2"/>
        <v>2.8999616081081028</v>
      </c>
      <c r="K22" s="16">
        <f t="shared" si="6"/>
        <v>1.1592882516493417</v>
      </c>
      <c r="L22" s="16">
        <f t="shared" si="7"/>
        <v>0.14491103145616771</v>
      </c>
      <c r="M22" s="16">
        <f t="shared" si="8"/>
        <v>1.0002135443306557</v>
      </c>
      <c r="N22" s="16">
        <f t="shared" si="15"/>
        <v>0.14494197638538464</v>
      </c>
      <c r="O22" s="16">
        <f t="shared" si="16"/>
        <v>0.14494197638538464</v>
      </c>
      <c r="P22" s="16">
        <f t="shared" si="9"/>
        <v>1.1590407450692333</v>
      </c>
      <c r="Q22" s="16">
        <f t="shared" si="10"/>
        <v>5.6384418173520121E-2</v>
      </c>
      <c r="R22" s="16">
        <f t="shared" si="11"/>
        <v>0.17713687391086563</v>
      </c>
      <c r="S22" s="16">
        <f t="shared" si="12"/>
        <v>8.0641369178942567E-3</v>
      </c>
      <c r="T22" s="16">
        <f t="shared" si="13"/>
        <v>9.523125912311739E-2</v>
      </c>
      <c r="U22" s="16"/>
      <c r="V22" s="16">
        <f t="shared" si="3"/>
        <v>2.2788519680358492</v>
      </c>
      <c r="W22" s="16">
        <f t="shared" ref="W22:AQ22" si="28">9.81/(2*PI())*$E$9^2*TANH(2*PI()*$H22/V22)</f>
        <v>6.242411694584165</v>
      </c>
      <c r="X22" s="16">
        <f t="shared" si="28"/>
        <v>5.6878910798770459</v>
      </c>
      <c r="Y22" s="16">
        <f t="shared" si="28"/>
        <v>5.8269904076461687</v>
      </c>
      <c r="Z22" s="16">
        <f t="shared" si="28"/>
        <v>5.7932980722648173</v>
      </c>
      <c r="AA22" s="16">
        <f t="shared" si="28"/>
        <v>5.8015398586063336</v>
      </c>
      <c r="AB22" s="16">
        <f t="shared" si="28"/>
        <v>5.7995284310119342</v>
      </c>
      <c r="AC22" s="16">
        <f t="shared" si="28"/>
        <v>5.8000196052845023</v>
      </c>
      <c r="AD22" s="16">
        <f t="shared" si="28"/>
        <v>5.7998996812139465</v>
      </c>
      <c r="AE22" s="16">
        <f t="shared" si="28"/>
        <v>5.7999289626168986</v>
      </c>
      <c r="AF22" s="16">
        <f t="shared" si="28"/>
        <v>5.7999218131477681</v>
      </c>
      <c r="AG22" s="16">
        <f t="shared" si="28"/>
        <v>5.7999235587954256</v>
      </c>
      <c r="AH22" s="16">
        <f t="shared" si="28"/>
        <v>5.7999231325701786</v>
      </c>
      <c r="AI22" s="16">
        <f t="shared" si="28"/>
        <v>5.7999232366392812</v>
      </c>
      <c r="AJ22" s="16">
        <f t="shared" si="28"/>
        <v>5.7999232112292951</v>
      </c>
      <c r="AK22" s="16">
        <f t="shared" si="28"/>
        <v>5.7999232174335118</v>
      </c>
      <c r="AL22" s="16">
        <f t="shared" si="28"/>
        <v>5.7999232159186631</v>
      </c>
      <c r="AM22" s="16">
        <f t="shared" si="28"/>
        <v>5.7999232162885352</v>
      </c>
      <c r="AN22" s="16">
        <f t="shared" si="28"/>
        <v>5.7999232161982253</v>
      </c>
      <c r="AO22" s="16">
        <f t="shared" si="28"/>
        <v>5.7999232162202761</v>
      </c>
      <c r="AP22" s="16">
        <f t="shared" si="28"/>
        <v>5.7999232162148928</v>
      </c>
      <c r="AQ22" s="16">
        <f t="shared" si="28"/>
        <v>5.7999232162162055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0.67892922718664406</v>
      </c>
      <c r="J23" s="21">
        <f t="shared" si="2"/>
        <v>2.7398727572238646</v>
      </c>
      <c r="K23" s="16">
        <f t="shared" si="6"/>
        <v>1.2331079243662797</v>
      </c>
      <c r="L23" s="16">
        <f t="shared" si="7"/>
        <v>0.15413849054578496</v>
      </c>
      <c r="M23" s="16">
        <f t="shared" si="8"/>
        <v>1.0005579659251087</v>
      </c>
      <c r="N23" s="16">
        <f t="shared" si="15"/>
        <v>0.1542244945712572</v>
      </c>
      <c r="O23" s="16">
        <f t="shared" si="16"/>
        <v>0.1542244945712572</v>
      </c>
      <c r="P23" s="16">
        <f t="shared" si="9"/>
        <v>1.232420275846944</v>
      </c>
      <c r="Q23" s="16">
        <f t="shared" si="10"/>
        <v>6.6233138303115724E-2</v>
      </c>
      <c r="R23" s="16">
        <f t="shared" si="11"/>
        <v>0.20807754071726511</v>
      </c>
      <c r="S23" s="16">
        <f t="shared" si="12"/>
        <v>7.7809599255140409E-3</v>
      </c>
      <c r="T23" s="16">
        <f t="shared" si="13"/>
        <v>0.1296004156060985</v>
      </c>
      <c r="U23" s="16"/>
      <c r="V23" s="16">
        <f t="shared" si="3"/>
        <v>1.8140555627292949</v>
      </c>
      <c r="W23" s="16">
        <f t="shared" ref="W23:AQ23" si="29">9.81/(2*PI())*$E$9^2*TANH(2*PI()*$H23/V23)</f>
        <v>6.2419559688490045</v>
      </c>
      <c r="X23" s="16">
        <f t="shared" si="29"/>
        <v>5.2022896043257294</v>
      </c>
      <c r="Y23" s="16">
        <f t="shared" si="29"/>
        <v>5.577890918434365</v>
      </c>
      <c r="Z23" s="16">
        <f t="shared" si="29"/>
        <v>5.4445057577837765</v>
      </c>
      <c r="AA23" s="16">
        <f t="shared" si="29"/>
        <v>5.4923400581688631</v>
      </c>
      <c r="AB23" s="16">
        <f t="shared" si="29"/>
        <v>5.4752364199912673</v>
      </c>
      <c r="AC23" s="16">
        <f t="shared" si="29"/>
        <v>5.4813588682662084</v>
      </c>
      <c r="AD23" s="16">
        <f t="shared" si="29"/>
        <v>5.4791681274094284</v>
      </c>
      <c r="AE23" s="16">
        <f t="shared" si="29"/>
        <v>5.4799521317479396</v>
      </c>
      <c r="AF23" s="16">
        <f t="shared" si="29"/>
        <v>5.4796715729126948</v>
      </c>
      <c r="AG23" s="16">
        <f t="shared" si="29"/>
        <v>5.4797719737431967</v>
      </c>
      <c r="AH23" s="16">
        <f t="shared" si="29"/>
        <v>5.4797360445185905</v>
      </c>
      <c r="AI23" s="16">
        <f t="shared" si="29"/>
        <v>5.4797489021032328</v>
      </c>
      <c r="AJ23" s="16">
        <f t="shared" si="29"/>
        <v>5.479744300908874</v>
      </c>
      <c r="AK23" s="16">
        <f t="shared" si="29"/>
        <v>5.4797459474853056</v>
      </c>
      <c r="AL23" s="16">
        <f t="shared" si="29"/>
        <v>5.4797453582440241</v>
      </c>
      <c r="AM23" s="16">
        <f t="shared" si="29"/>
        <v>5.4797455691090011</v>
      </c>
      <c r="AN23" s="16">
        <f t="shared" si="29"/>
        <v>5.4797454936491858</v>
      </c>
      <c r="AO23" s="16">
        <f t="shared" si="29"/>
        <v>5.47974552065312</v>
      </c>
      <c r="AP23" s="16">
        <f t="shared" si="29"/>
        <v>5.4797455109895328</v>
      </c>
      <c r="AQ23" s="16">
        <f t="shared" si="29"/>
        <v>5.4797455144477292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0.743313061341356</v>
      </c>
      <c r="J24" s="21">
        <f t="shared" si="2"/>
        <v>2.5134500875666212</v>
      </c>
      <c r="K24" s="16">
        <f t="shared" si="6"/>
        <v>1.3267300971616787</v>
      </c>
      <c r="L24" s="16">
        <f t="shared" si="7"/>
        <v>0.16584126214520983</v>
      </c>
      <c r="M24" s="16">
        <f t="shared" si="8"/>
        <v>1.001657146813334</v>
      </c>
      <c r="N24" s="16">
        <f t="shared" si="15"/>
        <v>0.16611608546429305</v>
      </c>
      <c r="O24" s="16">
        <f t="shared" si="16"/>
        <v>0.16611608546429305</v>
      </c>
      <c r="P24" s="16">
        <f t="shared" si="9"/>
        <v>1.3245351479620844</v>
      </c>
      <c r="Q24" s="16">
        <f t="shared" si="10"/>
        <v>8.1491626805083664E-2</v>
      </c>
      <c r="R24" s="16">
        <f t="shared" si="11"/>
        <v>0.2560134960999319</v>
      </c>
      <c r="S24" s="16">
        <f t="shared" si="12"/>
        <v>7.4429522150612232E-3</v>
      </c>
      <c r="T24" s="16">
        <f t="shared" si="13"/>
        <v>0.18664728703853151</v>
      </c>
      <c r="U24" s="16"/>
      <c r="V24" s="16">
        <f t="shared" si="3"/>
        <v>1.3741030772093568</v>
      </c>
      <c r="W24" s="16">
        <f t="shared" ref="W24:AQ24" si="30">9.81/(2*PI())*$E$9^2*TANH(2*PI()*$H24/V24)</f>
        <v>6.2415953474380856</v>
      </c>
      <c r="X24" s="16">
        <f t="shared" si="30"/>
        <v>4.4610406195348116</v>
      </c>
      <c r="Y24" s="16">
        <f t="shared" si="30"/>
        <v>5.3038931515408123</v>
      </c>
      <c r="Z24" s="16">
        <f t="shared" si="30"/>
        <v>4.8930375672743205</v>
      </c>
      <c r="AA24" s="16">
        <f t="shared" si="30"/>
        <v>5.0922025067944441</v>
      </c>
      <c r="AB24" s="16">
        <f t="shared" si="30"/>
        <v>4.9951666978490881</v>
      </c>
      <c r="AC24" s="16">
        <f t="shared" si="30"/>
        <v>5.0423514991721605</v>
      </c>
      <c r="AD24" s="16">
        <f t="shared" si="30"/>
        <v>5.0193826453484709</v>
      </c>
      <c r="AE24" s="16">
        <f t="shared" si="30"/>
        <v>5.0305580107009549</v>
      </c>
      <c r="AF24" s="16">
        <f t="shared" si="30"/>
        <v>5.0251193539690524</v>
      </c>
      <c r="AG24" s="16">
        <f t="shared" si="30"/>
        <v>5.0277658421196918</v>
      </c>
      <c r="AH24" s="16">
        <f t="shared" si="30"/>
        <v>5.0264779676243627</v>
      </c>
      <c r="AI24" s="16">
        <f t="shared" si="30"/>
        <v>5.0271046750887614</v>
      </c>
      <c r="AJ24" s="16">
        <f t="shared" si="30"/>
        <v>5.0267997015426866</v>
      </c>
      <c r="AK24" s="16">
        <f t="shared" si="30"/>
        <v>5.0269481092873276</v>
      </c>
      <c r="AL24" s="16">
        <f t="shared" si="30"/>
        <v>5.0268758901368154</v>
      </c>
      <c r="AM24" s="16">
        <f t="shared" si="30"/>
        <v>5.0269110338380134</v>
      </c>
      <c r="AN24" s="16">
        <f t="shared" si="30"/>
        <v>5.0268939319934489</v>
      </c>
      <c r="AO24" s="16">
        <f t="shared" si="30"/>
        <v>5.026902254195373</v>
      </c>
      <c r="AP24" s="16">
        <f t="shared" si="30"/>
        <v>5.0268982043949393</v>
      </c>
      <c r="AQ24" s="16">
        <f t="shared" si="30"/>
        <v>5.0269001751332425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0.79552475769803133</v>
      </c>
      <c r="J25" s="21">
        <f t="shared" si="2"/>
        <v>2.2872187017570327</v>
      </c>
      <c r="K25" s="16">
        <f t="shared" si="6"/>
        <v>1.4214184518890229</v>
      </c>
      <c r="L25" s="16">
        <f t="shared" si="7"/>
        <v>0.17767730648612787</v>
      </c>
      <c r="M25" s="16">
        <f t="shared" si="8"/>
        <v>1.0030116803097686</v>
      </c>
      <c r="N25" s="16">
        <f t="shared" si="15"/>
        <v>0.17821241373156485</v>
      </c>
      <c r="O25" s="16">
        <f t="shared" si="16"/>
        <v>0.17821241373156485</v>
      </c>
      <c r="P25" s="16">
        <f t="shared" si="9"/>
        <v>1.4171504477894357</v>
      </c>
      <c r="Q25" s="16">
        <f t="shared" si="10"/>
        <v>0.10041806935948622</v>
      </c>
      <c r="R25" s="16">
        <f t="shared" si="11"/>
        <v>0.3154726689874322</v>
      </c>
      <c r="S25" s="16">
        <f t="shared" si="12"/>
        <v>7.1299782588014676E-3</v>
      </c>
      <c r="T25" s="16">
        <f t="shared" si="13"/>
        <v>0.26207707901700711</v>
      </c>
      <c r="U25" s="16"/>
      <c r="V25" s="16">
        <f t="shared" si="3"/>
        <v>1.0570565820645579</v>
      </c>
      <c r="W25" s="16">
        <f t="shared" ref="W25:AQ25" si="31">9.81/(2*PI())*$E$9^2*TANH(2*PI()*$H25/V25)</f>
        <v>6.24138824277835</v>
      </c>
      <c r="X25" s="16">
        <f t="shared" si="31"/>
        <v>3.7126194580866048</v>
      </c>
      <c r="Y25" s="16">
        <f t="shared" si="31"/>
        <v>5.1087709884725134</v>
      </c>
      <c r="Z25" s="16">
        <f t="shared" si="31"/>
        <v>4.2708375075390652</v>
      </c>
      <c r="AA25" s="16">
        <f t="shared" si="31"/>
        <v>4.7573994551281924</v>
      </c>
      <c r="AB25" s="16">
        <f t="shared" si="31"/>
        <v>4.4676315860938871</v>
      </c>
      <c r="AC25" s="16">
        <f t="shared" si="31"/>
        <v>4.63795866180351</v>
      </c>
      <c r="AD25" s="16">
        <f t="shared" si="31"/>
        <v>4.5369957161609653</v>
      </c>
      <c r="AE25" s="16">
        <f t="shared" si="31"/>
        <v>4.5965598898600941</v>
      </c>
      <c r="AF25" s="16">
        <f t="shared" si="31"/>
        <v>4.5613181119986042</v>
      </c>
      <c r="AG25" s="16">
        <f t="shared" si="31"/>
        <v>4.5821344366530736</v>
      </c>
      <c r="AH25" s="16">
        <f t="shared" si="31"/>
        <v>4.5698265383274546</v>
      </c>
      <c r="AI25" s="16">
        <f t="shared" si="31"/>
        <v>4.5770994606221134</v>
      </c>
      <c r="AJ25" s="16">
        <f t="shared" si="31"/>
        <v>4.5728002857524555</v>
      </c>
      <c r="AK25" s="16">
        <f t="shared" si="31"/>
        <v>4.5753410954489961</v>
      </c>
      <c r="AL25" s="16">
        <f t="shared" si="31"/>
        <v>4.5738392960994769</v>
      </c>
      <c r="AM25" s="16">
        <f t="shared" si="31"/>
        <v>4.5747269027189494</v>
      </c>
      <c r="AN25" s="16">
        <f t="shared" si="31"/>
        <v>4.5742022794206152</v>
      </c>
      <c r="AO25" s="16">
        <f t="shared" si="31"/>
        <v>4.5745123522627056</v>
      </c>
      <c r="AP25" s="16">
        <f t="shared" si="31"/>
        <v>4.5743290843976316</v>
      </c>
      <c r="AQ25" s="16">
        <f t="shared" si="31"/>
        <v>4.5744374035140654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0.80344362448606854</v>
      </c>
      <c r="J26" s="21">
        <f t="shared" si="2"/>
        <v>2.2488996710847076</v>
      </c>
      <c r="K26" s="16">
        <f t="shared" si="6"/>
        <v>1.4418723988247617</v>
      </c>
      <c r="L26" s="16">
        <f t="shared" si="7"/>
        <v>0.18023404985309521</v>
      </c>
      <c r="M26" s="16">
        <f t="shared" si="8"/>
        <v>1.0013111751396149</v>
      </c>
      <c r="N26" s="16">
        <f t="shared" si="15"/>
        <v>0.18047036825857471</v>
      </c>
      <c r="O26" s="16">
        <f t="shared" si="16"/>
        <v>0.18047036825857471</v>
      </c>
      <c r="P26" s="16">
        <f t="shared" si="9"/>
        <v>1.4399843271735366</v>
      </c>
      <c r="Q26" s="16">
        <f t="shared" si="10"/>
        <v>0.11018840824307169</v>
      </c>
      <c r="R26" s="16">
        <f t="shared" si="11"/>
        <v>0.34616709384718702</v>
      </c>
      <c r="S26" s="16">
        <f t="shared" si="12"/>
        <v>6.9989729507438656E-3</v>
      </c>
      <c r="T26" s="16">
        <f t="shared" si="13"/>
        <v>0.27764672039780725</v>
      </c>
      <c r="U26" s="16"/>
      <c r="V26" s="16">
        <f t="shared" si="3"/>
        <v>1.0112599945728313</v>
      </c>
      <c r="W26" s="16">
        <f t="shared" ref="W26:AQ26" si="32">9.81/(2*PI())*$E$9^2*TANH(2*PI()*$H26/V26)</f>
        <v>6.2413623538790146</v>
      </c>
      <c r="X26" s="16">
        <f t="shared" si="32"/>
        <v>3.5884826012370228</v>
      </c>
      <c r="Y26" s="16">
        <f t="shared" si="32"/>
        <v>5.0822204579106689</v>
      </c>
      <c r="Z26" s="16">
        <f t="shared" si="32"/>
        <v>4.1596068029585442</v>
      </c>
      <c r="AA26" s="16">
        <f t="shared" si="32"/>
        <v>4.7080462266704366</v>
      </c>
      <c r="AB26" s="16">
        <f t="shared" si="32"/>
        <v>4.3721952422294086</v>
      </c>
      <c r="AC26" s="16">
        <f t="shared" si="32"/>
        <v>4.5746384926991128</v>
      </c>
      <c r="AD26" s="16">
        <f t="shared" si="32"/>
        <v>4.4513323476638718</v>
      </c>
      <c r="AE26" s="16">
        <f t="shared" si="32"/>
        <v>4.5259860271658496</v>
      </c>
      <c r="AF26" s="16">
        <f t="shared" si="32"/>
        <v>4.4806176610053141</v>
      </c>
      <c r="AG26" s="16">
        <f t="shared" si="32"/>
        <v>4.5081270117693943</v>
      </c>
      <c r="AH26" s="16">
        <f t="shared" si="32"/>
        <v>4.4914235825214401</v>
      </c>
      <c r="AI26" s="16">
        <f t="shared" si="32"/>
        <v>4.501557337112577</v>
      </c>
      <c r="AJ26" s="16">
        <f t="shared" si="32"/>
        <v>4.4954062081908477</v>
      </c>
      <c r="AK26" s="16">
        <f t="shared" si="32"/>
        <v>4.499138763647637</v>
      </c>
      <c r="AL26" s="16">
        <f t="shared" si="32"/>
        <v>4.4968733967591064</v>
      </c>
      <c r="AM26" s="16">
        <f t="shared" si="32"/>
        <v>4.4982481406936801</v>
      </c>
      <c r="AN26" s="16">
        <f t="shared" si="32"/>
        <v>4.4974138164970983</v>
      </c>
      <c r="AO26" s="16">
        <f t="shared" si="32"/>
        <v>4.4979201420075245</v>
      </c>
      <c r="AP26" s="16">
        <f t="shared" si="32"/>
        <v>4.497612860984721</v>
      </c>
      <c r="AQ26" s="16">
        <f t="shared" si="32"/>
        <v>4.4977993421694151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0.82510988054599277</v>
      </c>
      <c r="J27" s="22" t="e">
        <f>IF(B27&gt;=0," ",K27/K$9)</f>
        <v>#DIV/0!</v>
      </c>
      <c r="K27" s="22">
        <f>IF(B27&gt;=0," ",L27/L$9)</f>
        <v>1.4919542872457381</v>
      </c>
      <c r="L27" s="16">
        <f t="shared" si="7"/>
        <v>0.18649428590571726</v>
      </c>
      <c r="M27" s="16">
        <f t="shared" si="8"/>
        <v>1.0033293751436057</v>
      </c>
      <c r="N27" s="16">
        <f t="shared" si="15"/>
        <v>0.18711519534563625</v>
      </c>
      <c r="O27" s="16">
        <f t="shared" si="16"/>
        <v>0.18711519534563625</v>
      </c>
      <c r="P27" s="16">
        <f t="shared" si="9"/>
        <v>1.4870034947717901</v>
      </c>
      <c r="Q27" s="16">
        <f t="shared" si="10"/>
        <v>0.1191579744324586</v>
      </c>
      <c r="R27" s="16">
        <f t="shared" si="11"/>
        <v>0.37434581709365233</v>
      </c>
      <c r="S27" s="16">
        <f t="shared" si="12"/>
        <v>6.8922085795620888E-3</v>
      </c>
      <c r="T27" s="16">
        <f t="shared" si="13"/>
        <v>0.328272272536204</v>
      </c>
      <c r="U27" s="16"/>
      <c r="V27" s="16">
        <f t="shared" si="3"/>
        <v>0.88860153717599688</v>
      </c>
      <c r="W27" s="16">
        <f t="shared" ref="W27:AQ27" si="33">9.81/(2*PI())*$E$9^2*TANH(2*PI()*$H27/V27)</f>
        <v>6.2412982538218325</v>
      </c>
      <c r="X27" s="16">
        <f t="shared" si="33"/>
        <v>3.2360531973326641</v>
      </c>
      <c r="Y27" s="16">
        <f t="shared" si="33"/>
        <v>5.0143099928446366</v>
      </c>
      <c r="Z27" s="16">
        <f t="shared" si="33"/>
        <v>3.8303811839604993</v>
      </c>
      <c r="AA27" s="16">
        <f t="shared" si="33"/>
        <v>4.5772467174902953</v>
      </c>
      <c r="AB27" s="16">
        <f t="shared" si="33"/>
        <v>4.0850383836997972</v>
      </c>
      <c r="AC27" s="16">
        <f t="shared" si="33"/>
        <v>4.4014574840584908</v>
      </c>
      <c r="AD27" s="16">
        <f t="shared" si="33"/>
        <v>4.1944282546949143</v>
      </c>
      <c r="AE27" s="16">
        <f t="shared" si="33"/>
        <v>4.3284248758487616</v>
      </c>
      <c r="AF27" s="16">
        <f t="shared" si="33"/>
        <v>4.2410614596511511</v>
      </c>
      <c r="AG27" s="16">
        <f t="shared" si="33"/>
        <v>4.2977571449723655</v>
      </c>
      <c r="AH27" s="16">
        <f t="shared" si="33"/>
        <v>4.2608508024580614</v>
      </c>
      <c r="AI27" s="16">
        <f t="shared" si="33"/>
        <v>4.2848278357738332</v>
      </c>
      <c r="AJ27" s="16">
        <f t="shared" si="33"/>
        <v>4.2692304998611972</v>
      </c>
      <c r="AK27" s="16">
        <f t="shared" si="33"/>
        <v>4.2793682709732055</v>
      </c>
      <c r="AL27" s="16">
        <f t="shared" si="33"/>
        <v>4.2727754520022456</v>
      </c>
      <c r="AM27" s="16">
        <f t="shared" si="33"/>
        <v>4.2770613936288404</v>
      </c>
      <c r="AN27" s="16">
        <f t="shared" si="33"/>
        <v>4.274274494076292</v>
      </c>
      <c r="AO27" s="16">
        <f t="shared" si="33"/>
        <v>4.2760863824340349</v>
      </c>
      <c r="AP27" s="16">
        <f t="shared" si="33"/>
        <v>4.2749082779739016</v>
      </c>
      <c r="AQ27" s="16">
        <f t="shared" si="33"/>
        <v>4.2756742425873489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0.83065135209513119</v>
      </c>
      <c r="J28" s="22" t="e">
        <f t="shared" ref="J28:J91" si="34">IF(B28&gt;=0," ",K28/K$9)</f>
        <v>#DIV/0!</v>
      </c>
      <c r="K28" s="22">
        <f t="shared" ref="K28:K91" si="35">IF(B28&gt;=0," ",L28/L$9)</f>
        <v>1.5103482123284091</v>
      </c>
      <c r="L28" s="16">
        <f t="shared" si="7"/>
        <v>0.18879352654105114</v>
      </c>
      <c r="M28" s="16">
        <f t="shared" si="8"/>
        <v>1.0023163120878111</v>
      </c>
      <c r="N28" s="16">
        <f t="shared" si="15"/>
        <v>0.18923083126867868</v>
      </c>
      <c r="O28" s="16">
        <f t="shared" si="16"/>
        <v>0.18923083126867868</v>
      </c>
      <c r="P28" s="16">
        <f t="shared" si="9"/>
        <v>1.5068578592544049</v>
      </c>
      <c r="Q28" s="16">
        <f t="shared" si="10"/>
        <v>0.1257715311059561</v>
      </c>
      <c r="R28" s="16">
        <f t="shared" si="11"/>
        <v>0.39512291815321182</v>
      </c>
      <c r="S28" s="16">
        <f t="shared" si="12"/>
        <v>6.8203949515485548E-3</v>
      </c>
      <c r="T28" s="16">
        <f t="shared" si="13"/>
        <v>0.34405605685214302</v>
      </c>
      <c r="U28" s="16"/>
      <c r="V28" s="16">
        <f t="shared" si="3"/>
        <v>0.85782331201914508</v>
      </c>
      <c r="W28" s="16">
        <f t="shared" ref="W28:AQ28" si="36">9.81/(2*PI())*$E$9^2*TANH(2*PI()*$H28/V28)</f>
        <v>6.2412833860072574</v>
      </c>
      <c r="X28" s="16">
        <f t="shared" si="36"/>
        <v>3.1431203619644306</v>
      </c>
      <c r="Y28" s="16">
        <f t="shared" si="36"/>
        <v>4.9981085841831838</v>
      </c>
      <c r="Z28" s="16">
        <f t="shared" si="36"/>
        <v>3.7402010556962102</v>
      </c>
      <c r="AA28" s="16">
        <f t="shared" si="36"/>
        <v>4.545034837142329</v>
      </c>
      <c r="AB28" s="16">
        <f t="shared" si="36"/>
        <v>4.0049138278651988</v>
      </c>
      <c r="AC28" s="16">
        <f t="shared" si="36"/>
        <v>4.3575381637530031</v>
      </c>
      <c r="AD28" s="16">
        <f t="shared" si="36"/>
        <v>4.1226964785969269</v>
      </c>
      <c r="AE28" s="16">
        <f t="shared" si="36"/>
        <v>4.2771672595617813</v>
      </c>
      <c r="AF28" s="16">
        <f t="shared" si="36"/>
        <v>4.1746913523733467</v>
      </c>
      <c r="AG28" s="16">
        <f t="shared" si="36"/>
        <v>4.2423010350614314</v>
      </c>
      <c r="AH28" s="16">
        <f t="shared" si="36"/>
        <v>4.1975295111636317</v>
      </c>
      <c r="AI28" s="16">
        <f t="shared" si="36"/>
        <v>4.2271058658126641</v>
      </c>
      <c r="AJ28" s="16">
        <f t="shared" si="36"/>
        <v>4.2075360403156719</v>
      </c>
      <c r="AK28" s="16">
        <f t="shared" si="36"/>
        <v>4.2204711143065055</v>
      </c>
      <c r="AL28" s="16">
        <f t="shared" si="36"/>
        <v>4.2119154003352399</v>
      </c>
      <c r="AM28" s="16">
        <f t="shared" si="36"/>
        <v>4.217571826112291</v>
      </c>
      <c r="AN28" s="16">
        <f t="shared" si="36"/>
        <v>4.213831053074605</v>
      </c>
      <c r="AO28" s="16">
        <f t="shared" si="36"/>
        <v>4.2163044423641098</v>
      </c>
      <c r="AP28" s="16">
        <f t="shared" si="36"/>
        <v>4.2146688242289843</v>
      </c>
      <c r="AQ28" s="16">
        <f t="shared" si="36"/>
        <v>4.215750339875445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0.81961852491409259</v>
      </c>
      <c r="J29" s="22" t="e">
        <f t="shared" si="34"/>
        <v>#DIV/0!</v>
      </c>
      <c r="K29" s="22">
        <f t="shared" si="35"/>
        <v>1.4875088341387448</v>
      </c>
      <c r="L29" s="16">
        <f t="shared" si="7"/>
        <v>0.1859386042673431</v>
      </c>
      <c r="M29" s="16">
        <f t="shared" si="8"/>
        <v>1.0013611156100841</v>
      </c>
      <c r="N29" s="16">
        <f t="shared" si="15"/>
        <v>0.18619168820412862</v>
      </c>
      <c r="O29" s="16">
        <f t="shared" si="16"/>
        <v>0.18619168820412862</v>
      </c>
      <c r="P29" s="16">
        <f t="shared" si="9"/>
        <v>1.4854869147105565</v>
      </c>
      <c r="Q29" s="16">
        <f t="shared" si="10"/>
        <v>0.12280626603168603</v>
      </c>
      <c r="R29" s="16">
        <f t="shared" si="11"/>
        <v>0.38580726317993858</v>
      </c>
      <c r="S29" s="16">
        <f t="shared" si="12"/>
        <v>6.8519287363466158E-3</v>
      </c>
      <c r="T29" s="16">
        <f t="shared" si="13"/>
        <v>0.31557913254937059</v>
      </c>
      <c r="U29" s="16"/>
      <c r="V29" s="16">
        <f t="shared" si="3"/>
        <v>0.91933576896585223</v>
      </c>
      <c r="W29" s="16">
        <f t="shared" ref="W29:AQ29" si="37">9.81/(2*PI())*$E$9^2*TANH(2*PI()*$H29/V29)</f>
        <v>6.2413135908224557</v>
      </c>
      <c r="X29" s="16">
        <f t="shared" si="37"/>
        <v>3.3270667044420836</v>
      </c>
      <c r="Y29" s="16">
        <f t="shared" si="37"/>
        <v>5.0308438048360582</v>
      </c>
      <c r="Z29" s="16">
        <f t="shared" si="37"/>
        <v>3.9173301412767132</v>
      </c>
      <c r="AA29" s="16">
        <f t="shared" si="37"/>
        <v>4.6097125081159041</v>
      </c>
      <c r="AB29" s="16">
        <f t="shared" si="37"/>
        <v>4.1616533641444775</v>
      </c>
      <c r="AC29" s="16">
        <f t="shared" si="37"/>
        <v>4.4452009307522786</v>
      </c>
      <c r="AD29" s="16">
        <f t="shared" si="37"/>
        <v>4.2629493026636869</v>
      </c>
      <c r="AE29" s="16">
        <f t="shared" si="37"/>
        <v>4.3789940451759222</v>
      </c>
      <c r="AF29" s="16">
        <f t="shared" si="37"/>
        <v>4.3046430343710496</v>
      </c>
      <c r="AG29" s="16">
        <f t="shared" si="37"/>
        <v>4.3520951250155369</v>
      </c>
      <c r="AH29" s="16">
        <f t="shared" si="37"/>
        <v>4.3217337577600672</v>
      </c>
      <c r="AI29" s="16">
        <f t="shared" si="37"/>
        <v>4.3411288586305146</v>
      </c>
      <c r="AJ29" s="16">
        <f t="shared" si="37"/>
        <v>4.3287263442375234</v>
      </c>
      <c r="AK29" s="16">
        <f t="shared" si="37"/>
        <v>4.3366521380517469</v>
      </c>
      <c r="AL29" s="16">
        <f t="shared" si="37"/>
        <v>4.3315850530375481</v>
      </c>
      <c r="AM29" s="16">
        <f t="shared" si="37"/>
        <v>4.3348236522096872</v>
      </c>
      <c r="AN29" s="16">
        <f t="shared" si="37"/>
        <v>4.3327533645526461</v>
      </c>
      <c r="AO29" s="16">
        <f t="shared" si="37"/>
        <v>4.3340766593477245</v>
      </c>
      <c r="AP29" s="16">
        <f t="shared" si="37"/>
        <v>4.3332307711959404</v>
      </c>
      <c r="AQ29" s="16">
        <f t="shared" si="37"/>
        <v>4.3337714630611774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0.80211598466297418</v>
      </c>
      <c r="J30" s="22" t="e">
        <f t="shared" si="34"/>
        <v>#DIV/0!</v>
      </c>
      <c r="K30" s="22">
        <f t="shared" si="35"/>
        <v>1.451118753078213</v>
      </c>
      <c r="L30" s="16">
        <f t="shared" si="7"/>
        <v>0.18138984413477663</v>
      </c>
      <c r="M30" s="16">
        <f t="shared" si="8"/>
        <v>1.0015934995120601</v>
      </c>
      <c r="N30" s="16">
        <f t="shared" si="15"/>
        <v>0.18167888876289806</v>
      </c>
      <c r="O30" s="16">
        <f t="shared" si="16"/>
        <v>0.18167888876289806</v>
      </c>
      <c r="P30" s="16">
        <f t="shared" si="9"/>
        <v>1.4488100749307431</v>
      </c>
      <c r="Q30" s="16">
        <f t="shared" si="10"/>
        <v>0.11468174037493671</v>
      </c>
      <c r="R30" s="16">
        <f t="shared" si="11"/>
        <v>0.36028331306279315</v>
      </c>
      <c r="S30" s="16">
        <f t="shared" si="12"/>
        <v>6.9440363744449809E-3</v>
      </c>
      <c r="T30" s="16">
        <f t="shared" si="13"/>
        <v>0.27737234925633292</v>
      </c>
      <c r="U30" s="16"/>
      <c r="V30" s="16">
        <f t="shared" si="3"/>
        <v>1.0189006637694944</v>
      </c>
      <c r="W30" s="16">
        <f t="shared" ref="W30:AQ30" si="38">9.81/(2*PI())*$E$9^2*TANH(2*PI()*$H30/V30)</f>
        <v>6.2413666000506769</v>
      </c>
      <c r="X30" s="16">
        <f t="shared" si="38"/>
        <v>3.6094765761203873</v>
      </c>
      <c r="Y30" s="16">
        <f t="shared" si="38"/>
        <v>5.0866093632544462</v>
      </c>
      <c r="Z30" s="16">
        <f t="shared" si="38"/>
        <v>4.1785887908377637</v>
      </c>
      <c r="AA30" s="16">
        <f t="shared" si="38"/>
        <v>4.71627201551519</v>
      </c>
      <c r="AB30" s="16">
        <f t="shared" si="38"/>
        <v>4.388529829216691</v>
      </c>
      <c r="AC30" s="16">
        <f t="shared" si="38"/>
        <v>4.5852661380446458</v>
      </c>
      <c r="AD30" s="16">
        <f t="shared" si="38"/>
        <v>4.4659759521990958</v>
      </c>
      <c r="AE30" s="16">
        <f t="shared" si="38"/>
        <v>4.5378895073802852</v>
      </c>
      <c r="AF30" s="16">
        <f t="shared" si="38"/>
        <v>4.4943802347015183</v>
      </c>
      <c r="AG30" s="16">
        <f t="shared" si="38"/>
        <v>4.5206480499430928</v>
      </c>
      <c r="AH30" s="16">
        <f t="shared" si="38"/>
        <v>4.504768672467077</v>
      </c>
      <c r="AI30" s="16">
        <f t="shared" si="38"/>
        <v>4.5143605226618018</v>
      </c>
      <c r="AJ30" s="16">
        <f t="shared" si="38"/>
        <v>4.5085638614706269</v>
      </c>
      <c r="AK30" s="16">
        <f t="shared" si="38"/>
        <v>4.5120659643645009</v>
      </c>
      <c r="AL30" s="16">
        <f t="shared" si="38"/>
        <v>4.5099497714889747</v>
      </c>
      <c r="AM30" s="16">
        <f t="shared" si="38"/>
        <v>4.511228375605894</v>
      </c>
      <c r="AN30" s="16">
        <f t="shared" si="38"/>
        <v>4.5104557938416345</v>
      </c>
      <c r="AO30" s="16">
        <f t="shared" si="38"/>
        <v>4.5109225995887172</v>
      </c>
      <c r="AP30" s="16">
        <f t="shared" si="38"/>
        <v>4.5106405418787521</v>
      </c>
      <c r="AQ30" s="16">
        <f t="shared" si="38"/>
        <v>4.5108109670311745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0.80610827566895238</v>
      </c>
      <c r="J31" s="22" t="e">
        <f t="shared" si="34"/>
        <v>#DIV/0!</v>
      </c>
      <c r="K31" s="22">
        <f t="shared" si="35"/>
        <v>1.4618734657451706</v>
      </c>
      <c r="L31" s="16">
        <f t="shared" si="7"/>
        <v>0.18273418321814633</v>
      </c>
      <c r="M31" s="16">
        <f t="shared" si="8"/>
        <v>1</v>
      </c>
      <c r="N31" s="16">
        <f t="shared" si="15"/>
        <v>0.18273418321814633</v>
      </c>
      <c r="O31" s="16">
        <f t="shared" si="16"/>
        <v>0.18273418321814633</v>
      </c>
      <c r="P31" s="16">
        <f t="shared" si="9"/>
        <v>1.4618734657451706</v>
      </c>
      <c r="Q31" s="16">
        <f t="shared" si="10"/>
        <v>0.11320591341119982</v>
      </c>
      <c r="R31" s="16">
        <f t="shared" si="11"/>
        <v>0.35564686591554756</v>
      </c>
      <c r="S31" s="16">
        <f t="shared" si="12"/>
        <v>6.9617449528702842E-3</v>
      </c>
      <c r="T31" s="16">
        <f t="shared" si="13"/>
        <v>0.28552216127835361</v>
      </c>
      <c r="U31" s="16"/>
      <c r="V31" s="16">
        <f t="shared" si="3"/>
        <v>0.99596934816285698</v>
      </c>
      <c r="W31" s="16">
        <f t="shared" ref="W31:AQ31" si="39">9.81/(2*PI())*$E$9^2*TANH(2*PI()*$H31/V31)</f>
        <v>6.2413539447641213</v>
      </c>
      <c r="X31" s="16">
        <f t="shared" si="39"/>
        <v>3.5461292077165627</v>
      </c>
      <c r="Y31" s="16">
        <f t="shared" si="39"/>
        <v>5.0734888229811963</v>
      </c>
      <c r="Z31" s="16">
        <f t="shared" si="39"/>
        <v>4.1210992520295706</v>
      </c>
      <c r="AA31" s="16">
        <f t="shared" si="39"/>
        <v>4.691600712384151</v>
      </c>
      <c r="AB31" s="16">
        <f t="shared" si="39"/>
        <v>4.3389926139206629</v>
      </c>
      <c r="AC31" s="16">
        <f t="shared" si="39"/>
        <v>4.553300619790865</v>
      </c>
      <c r="AD31" s="16">
        <f t="shared" si="39"/>
        <v>4.4215855774581714</v>
      </c>
      <c r="AE31" s="16">
        <f t="shared" si="39"/>
        <v>4.5020134071966798</v>
      </c>
      <c r="AF31" s="16">
        <f t="shared" si="39"/>
        <v>4.4527004017082117</v>
      </c>
      <c r="AG31" s="16">
        <f t="shared" si="39"/>
        <v>4.4828613168013618</v>
      </c>
      <c r="AH31" s="16">
        <f t="shared" si="39"/>
        <v>4.4643860181329709</v>
      </c>
      <c r="AI31" s="16">
        <f t="shared" si="39"/>
        <v>4.4756926904866514</v>
      </c>
      <c r="AJ31" s="16">
        <f t="shared" si="39"/>
        <v>4.4687691807737213</v>
      </c>
      <c r="AK31" s="16">
        <f t="shared" si="39"/>
        <v>4.4730072327472143</v>
      </c>
      <c r="AL31" s="16">
        <f t="shared" si="39"/>
        <v>4.4704124609703939</v>
      </c>
      <c r="AM31" s="16">
        <f t="shared" si="39"/>
        <v>4.4720009171031982</v>
      </c>
      <c r="AN31" s="16">
        <f t="shared" si="39"/>
        <v>4.4710284249703038</v>
      </c>
      <c r="AO31" s="16">
        <f t="shared" si="39"/>
        <v>4.4716237795027087</v>
      </c>
      <c r="AP31" s="16">
        <f t="shared" si="39"/>
        <v>4.4712592956636295</v>
      </c>
      <c r="AQ31" s="16">
        <f t="shared" si="39"/>
        <v>4.4714824333389487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0.78283440730166409</v>
      </c>
      <c r="J32" s="22" t="e">
        <f t="shared" si="34"/>
        <v>#DIV/0!</v>
      </c>
      <c r="K32" s="22">
        <f t="shared" si="35"/>
        <v>1.415053613717453</v>
      </c>
      <c r="L32" s="16">
        <f t="shared" si="7"/>
        <v>0.17688170171468162</v>
      </c>
      <c r="M32" s="16">
        <f t="shared" si="8"/>
        <v>1.0011038984594027</v>
      </c>
      <c r="N32" s="16">
        <f t="shared" si="15"/>
        <v>0.177076961152701</v>
      </c>
      <c r="O32" s="16">
        <f t="shared" si="16"/>
        <v>0.177076961152701</v>
      </c>
      <c r="P32" s="16">
        <f t="shared" si="9"/>
        <v>1.4134932606846071</v>
      </c>
      <c r="Q32" s="16">
        <f t="shared" si="10"/>
        <v>0.10668679474010875</v>
      </c>
      <c r="R32" s="16">
        <f t="shared" si="11"/>
        <v>0.33516645059056782</v>
      </c>
      <c r="S32" s="16">
        <f t="shared" si="12"/>
        <v>7.0439950545315849E-3</v>
      </c>
      <c r="T32" s="16">
        <f t="shared" si="13"/>
        <v>0.24290392476365033</v>
      </c>
      <c r="U32" s="16"/>
      <c r="V32" s="16">
        <f t="shared" si="3"/>
        <v>1.1316044754679337</v>
      </c>
      <c r="W32" s="16">
        <f t="shared" ref="W32:AQ32" si="40">9.81/(2*PI())*$E$9^2*TANH(2*PI()*$H32/V32)</f>
        <v>6.241432611991268</v>
      </c>
      <c r="X32" s="16">
        <f t="shared" si="40"/>
        <v>3.9059689208487423</v>
      </c>
      <c r="Y32" s="16">
        <f t="shared" si="40"/>
        <v>5.1531263396738085</v>
      </c>
      <c r="Z32" s="16">
        <f t="shared" si="40"/>
        <v>4.4393257326960072</v>
      </c>
      <c r="AA32" s="16">
        <f t="shared" si="40"/>
        <v>4.8377150759155585</v>
      </c>
      <c r="AB32" s="16">
        <f t="shared" si="40"/>
        <v>4.6111085927680966</v>
      </c>
      <c r="AC32" s="16">
        <f t="shared" si="40"/>
        <v>4.7388063334448409</v>
      </c>
      <c r="AD32" s="16">
        <f t="shared" si="40"/>
        <v>4.66643184025913</v>
      </c>
      <c r="AE32" s="16">
        <f t="shared" si="40"/>
        <v>4.7073240613968226</v>
      </c>
      <c r="AF32" s="16">
        <f t="shared" si="40"/>
        <v>4.6841779523351281</v>
      </c>
      <c r="AG32" s="16">
        <f t="shared" si="40"/>
        <v>4.6972661321541267</v>
      </c>
      <c r="AH32" s="16">
        <f t="shared" si="40"/>
        <v>4.6898610613863712</v>
      </c>
      <c r="AI32" s="16">
        <f t="shared" si="40"/>
        <v>4.6940493745408105</v>
      </c>
      <c r="AJ32" s="16">
        <f t="shared" si="40"/>
        <v>4.6916800284811488</v>
      </c>
      <c r="AK32" s="16">
        <f t="shared" si="40"/>
        <v>4.6930202389034337</v>
      </c>
      <c r="AL32" s="16">
        <f t="shared" si="40"/>
        <v>4.6922621103031625</v>
      </c>
      <c r="AM32" s="16">
        <f t="shared" si="40"/>
        <v>4.6926909533881878</v>
      </c>
      <c r="AN32" s="16">
        <f t="shared" si="40"/>
        <v>4.6924483694361765</v>
      </c>
      <c r="AO32" s="16">
        <f t="shared" si="40"/>
        <v>4.6925855906091503</v>
      </c>
      <c r="AP32" s="16">
        <f t="shared" si="40"/>
        <v>4.6925079689739935</v>
      </c>
      <c r="AQ32" s="16">
        <f t="shared" si="40"/>
        <v>4.6925518769053651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0.79056796784897176</v>
      </c>
      <c r="J33" s="22" t="e">
        <f t="shared" si="34"/>
        <v>#DIV/0!</v>
      </c>
      <c r="K33" s="22">
        <f t="shared" si="35"/>
        <v>1.4315767468186893</v>
      </c>
      <c r="L33" s="16">
        <f t="shared" si="7"/>
        <v>0.17894709335233616</v>
      </c>
      <c r="M33" s="16">
        <f t="shared" si="8"/>
        <v>1.0030709458924858</v>
      </c>
      <c r="N33" s="16">
        <f t="shared" si="15"/>
        <v>0.17949663019363879</v>
      </c>
      <c r="O33" s="16">
        <f t="shared" si="16"/>
        <v>0.17949663019363879</v>
      </c>
      <c r="P33" s="16">
        <f t="shared" si="9"/>
        <v>1.4271939115382701</v>
      </c>
      <c r="Q33" s="16">
        <f t="shared" si="10"/>
        <v>0.10557913701395449</v>
      </c>
      <c r="R33" s="16">
        <f t="shared" si="11"/>
        <v>0.33168664121538965</v>
      </c>
      <c r="S33" s="16">
        <f t="shared" si="12"/>
        <v>7.0586677955076626E-3</v>
      </c>
      <c r="T33" s="16">
        <f t="shared" si="13"/>
        <v>0.25679060113539176</v>
      </c>
      <c r="U33" s="16"/>
      <c r="V33" s="16">
        <f t="shared" si="3"/>
        <v>1.0860010081088805</v>
      </c>
      <c r="W33" s="16">
        <f t="shared" ref="W33:AQ33" si="41">9.81/(2*PI())*$E$9^2*TANH(2*PI()*$H33/V33)</f>
        <v>6.2414051444197183</v>
      </c>
      <c r="X33" s="16">
        <f t="shared" si="41"/>
        <v>3.788973808956023</v>
      </c>
      <c r="Y33" s="16">
        <f t="shared" si="41"/>
        <v>5.1258370425122131</v>
      </c>
      <c r="Z33" s="16">
        <f t="shared" si="41"/>
        <v>4.3380581908344285</v>
      </c>
      <c r="AA33" s="16">
        <f t="shared" si="41"/>
        <v>4.7886127796656535</v>
      </c>
      <c r="AB33" s="16">
        <f t="shared" si="41"/>
        <v>4.5250094842920072</v>
      </c>
      <c r="AC33" s="16">
        <f t="shared" si="41"/>
        <v>4.6774670785015342</v>
      </c>
      <c r="AD33" s="16">
        <f t="shared" si="41"/>
        <v>4.5886480875112206</v>
      </c>
      <c r="AE33" s="16">
        <f t="shared" si="41"/>
        <v>4.6401839879355355</v>
      </c>
      <c r="AF33" s="16">
        <f t="shared" si="41"/>
        <v>4.6102088856667383</v>
      </c>
      <c r="AG33" s="16">
        <f t="shared" si="41"/>
        <v>4.6276194414027252</v>
      </c>
      <c r="AH33" s="16">
        <f t="shared" si="41"/>
        <v>4.6174986188701519</v>
      </c>
      <c r="AI33" s="16">
        <f t="shared" si="41"/>
        <v>4.6233791420181314</v>
      </c>
      <c r="AJ33" s="16">
        <f t="shared" si="41"/>
        <v>4.6199614378659737</v>
      </c>
      <c r="AK33" s="16">
        <f t="shared" si="41"/>
        <v>4.6219474610581379</v>
      </c>
      <c r="AL33" s="16">
        <f t="shared" si="41"/>
        <v>4.6207932795729088</v>
      </c>
      <c r="AM33" s="16">
        <f t="shared" si="41"/>
        <v>4.6214639987066981</v>
      </c>
      <c r="AN33" s="16">
        <f t="shared" si="41"/>
        <v>4.6210742176107402</v>
      </c>
      <c r="AO33" s="16">
        <f t="shared" si="41"/>
        <v>4.6213007305494598</v>
      </c>
      <c r="AP33" s="16">
        <f t="shared" si="41"/>
        <v>4.6211690960246212</v>
      </c>
      <c r="AQ33" s="16">
        <f t="shared" si="41"/>
        <v>4.6212455929464236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0.80905380581482111</v>
      </c>
      <c r="J34" s="22" t="e">
        <f t="shared" si="34"/>
        <v>#DIV/0!</v>
      </c>
      <c r="K34" s="22">
        <f t="shared" si="35"/>
        <v>1.4743578934552106</v>
      </c>
      <c r="L34" s="16">
        <f t="shared" si="7"/>
        <v>0.18429473668190133</v>
      </c>
      <c r="M34" s="16">
        <f t="shared" si="8"/>
        <v>1.0025479851155636</v>
      </c>
      <c r="N34" s="16">
        <f t="shared" si="15"/>
        <v>0.18476431692784354</v>
      </c>
      <c r="O34" s="16">
        <f t="shared" si="16"/>
        <v>0.18476431692784354</v>
      </c>
      <c r="P34" s="16">
        <f t="shared" si="9"/>
        <v>1.4706107990284989</v>
      </c>
      <c r="Q34" s="16">
        <f t="shared" si="10"/>
        <v>0.11281987450654006</v>
      </c>
      <c r="R34" s="16">
        <f t="shared" si="11"/>
        <v>0.35443408892866862</v>
      </c>
      <c r="S34" s="16">
        <f t="shared" si="12"/>
        <v>6.9664301569983449E-3</v>
      </c>
      <c r="T34" s="16">
        <f t="shared" si="13"/>
        <v>0.29374295219053026</v>
      </c>
      <c r="U34" s="16"/>
      <c r="V34" s="16">
        <f t="shared" si="3"/>
        <v>0.979135481236317</v>
      </c>
      <c r="W34" s="16">
        <f t="shared" ref="W34:AQ34" si="42">9.81/(2*PI())*$E$9^2*TANH(2*PI()*$H34/V34)</f>
        <v>6.2413448237527032</v>
      </c>
      <c r="X34" s="16">
        <f t="shared" si="42"/>
        <v>3.4989779001889088</v>
      </c>
      <c r="Y34" s="16">
        <f t="shared" si="42"/>
        <v>5.0639578967823455</v>
      </c>
      <c r="Z34" s="16">
        <f t="shared" si="42"/>
        <v>4.0778926217237661</v>
      </c>
      <c r="AA34" s="16">
        <f t="shared" si="42"/>
        <v>4.6735265540733177</v>
      </c>
      <c r="AB34" s="16">
        <f t="shared" si="42"/>
        <v>4.3016283885957192</v>
      </c>
      <c r="AC34" s="16">
        <f t="shared" si="42"/>
        <v>4.5297088312296125</v>
      </c>
      <c r="AD34" s="16">
        <f t="shared" si="42"/>
        <v>4.3881353827360403</v>
      </c>
      <c r="AE34" s="16">
        <f t="shared" si="42"/>
        <v>4.4753927473994306</v>
      </c>
      <c r="AF34" s="16">
        <f t="shared" si="42"/>
        <v>4.4213692195431786</v>
      </c>
      <c r="AG34" s="16">
        <f t="shared" si="42"/>
        <v>4.4547253112683745</v>
      </c>
      <c r="AH34" s="16">
        <f t="shared" si="42"/>
        <v>4.4340947552900341</v>
      </c>
      <c r="AI34" s="16">
        <f t="shared" si="42"/>
        <v>4.4468412421406818</v>
      </c>
      <c r="AJ34" s="16">
        <f t="shared" si="42"/>
        <v>4.4389607499569541</v>
      </c>
      <c r="AK34" s="16">
        <f t="shared" si="42"/>
        <v>4.4438308915647022</v>
      </c>
      <c r="AL34" s="16">
        <f t="shared" si="42"/>
        <v>4.4408203963573269</v>
      </c>
      <c r="AM34" s="16">
        <f t="shared" si="42"/>
        <v>4.4426810585985343</v>
      </c>
      <c r="AN34" s="16">
        <f t="shared" si="42"/>
        <v>4.4415309511076861</v>
      </c>
      <c r="AO34" s="16">
        <f t="shared" si="42"/>
        <v>4.4422418106756076</v>
      </c>
      <c r="AP34" s="16">
        <f t="shared" si="42"/>
        <v>4.441802425941483</v>
      </c>
      <c r="AQ34" s="16">
        <f t="shared" si="42"/>
        <v>4.4420740050566074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0.84786867500822338</v>
      </c>
      <c r="J35" s="22" t="e">
        <f t="shared" si="34"/>
        <v>#DIV/0!</v>
      </c>
      <c r="K35" s="22">
        <f t="shared" si="35"/>
        <v>1.5741406508253579</v>
      </c>
      <c r="L35" s="16">
        <f t="shared" si="7"/>
        <v>0.19676758135316974</v>
      </c>
      <c r="M35" s="16">
        <f t="shared" si="8"/>
        <v>1.0029222441460413</v>
      </c>
      <c r="N35" s="16">
        <f t="shared" si="15"/>
        <v>0.19734258426590973</v>
      </c>
      <c r="O35" s="16">
        <f t="shared" si="16"/>
        <v>0.19734258426590973</v>
      </c>
      <c r="P35" s="16">
        <f t="shared" si="9"/>
        <v>1.5695540307471116</v>
      </c>
      <c r="Q35" s="16">
        <f t="shared" si="10"/>
        <v>0.13170986558579081</v>
      </c>
      <c r="R35" s="16">
        <f t="shared" si="11"/>
        <v>0.41377874612961951</v>
      </c>
      <c r="S35" s="16">
        <f t="shared" si="12"/>
        <v>6.7602411429548946E-3</v>
      </c>
      <c r="T35" s="16">
        <f t="shared" si="13"/>
        <v>0.40356356700595047</v>
      </c>
      <c r="U35" s="16"/>
      <c r="V35" s="16">
        <f t="shared" si="3"/>
        <v>0.76369327670666176</v>
      </c>
      <c r="W35" s="16">
        <f t="shared" ref="W35:AQ35" si="43">9.81/(2*PI())*$E$9^2*TANH(2*PI()*$H35/V35)</f>
        <v>6.2412409989559423</v>
      </c>
      <c r="X35" s="16">
        <f t="shared" si="43"/>
        <v>2.8480116424279802</v>
      </c>
      <c r="Y35" s="16">
        <f t="shared" si="43"/>
        <v>4.95097166291385</v>
      </c>
      <c r="Z35" s="16">
        <f t="shared" si="43"/>
        <v>3.4444511750245188</v>
      </c>
      <c r="AA35" s="16">
        <f t="shared" si="43"/>
        <v>4.4490093375893158</v>
      </c>
      <c r="AB35" s="16">
        <f t="shared" si="43"/>
        <v>3.7369400369444823</v>
      </c>
      <c r="AC35" s="16">
        <f t="shared" si="43"/>
        <v>4.2234091470545509</v>
      </c>
      <c r="AD35" s="16">
        <f t="shared" si="43"/>
        <v>3.8815781305665937</v>
      </c>
      <c r="AE35" s="16">
        <f t="shared" si="43"/>
        <v>4.1174137362258527</v>
      </c>
      <c r="AF35" s="16">
        <f t="shared" si="43"/>
        <v>3.9525230391182546</v>
      </c>
      <c r="AG35" s="16">
        <f t="shared" si="43"/>
        <v>4.0667796516567165</v>
      </c>
      <c r="AH35" s="16">
        <f t="shared" si="43"/>
        <v>3.9871013790111025</v>
      </c>
      <c r="AI35" s="16">
        <f t="shared" si="43"/>
        <v>4.0424234498123557</v>
      </c>
      <c r="AJ35" s="16">
        <f t="shared" si="43"/>
        <v>4.0038940219297157</v>
      </c>
      <c r="AK35" s="16">
        <f t="shared" si="43"/>
        <v>4.0306711774614703</v>
      </c>
      <c r="AL35" s="16">
        <f t="shared" si="43"/>
        <v>4.0120339586473568</v>
      </c>
      <c r="AM35" s="16">
        <f t="shared" si="43"/>
        <v>4.0249923427874936</v>
      </c>
      <c r="AN35" s="16">
        <f t="shared" si="43"/>
        <v>4.0159759622220452</v>
      </c>
      <c r="AO35" s="16">
        <f t="shared" si="43"/>
        <v>4.0222463906786592</v>
      </c>
      <c r="AP35" s="16">
        <f t="shared" si="43"/>
        <v>4.0178841170244679</v>
      </c>
      <c r="AQ35" s="16">
        <f t="shared" si="43"/>
        <v>4.0209181748411948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0.88638609744412933</v>
      </c>
      <c r="J36" s="22" t="e">
        <f t="shared" si="34"/>
        <v>#DIV/0!</v>
      </c>
      <c r="K36" s="22">
        <f t="shared" si="35"/>
        <v>1.7055497841193838</v>
      </c>
      <c r="L36" s="16">
        <f t="shared" si="7"/>
        <v>0.21319372301492298</v>
      </c>
      <c r="M36" s="16">
        <f t="shared" si="8"/>
        <v>1.0094498450775446</v>
      </c>
      <c r="N36" s="16">
        <f t="shared" si="15"/>
        <v>0.21520837066891896</v>
      </c>
      <c r="O36" s="16">
        <f t="shared" si="16"/>
        <v>0.21520837066891896</v>
      </c>
      <c r="P36" s="16">
        <f t="shared" si="9"/>
        <v>1.6895834819691964</v>
      </c>
      <c r="Q36" s="16">
        <f t="shared" si="10"/>
        <v>0.16418301331333862</v>
      </c>
      <c r="R36" s="16">
        <f t="shared" si="11"/>
        <v>0.51579614846941979</v>
      </c>
      <c r="S36" s="16">
        <f t="shared" si="12"/>
        <v>6.4871496250096085E-3</v>
      </c>
      <c r="T36" s="16">
        <f t="shared" si="13"/>
        <v>0.59946621356244834</v>
      </c>
      <c r="U36" s="16"/>
      <c r="V36" s="16">
        <f t="shared" si="3"/>
        <v>0.56196228075888144</v>
      </c>
      <c r="W36" s="16">
        <f t="shared" ref="W36:AQ36" si="44">9.81/(2*PI())*$E$9^2*TANH(2*PI()*$H36/V36)</f>
        <v>6.2411661324311334</v>
      </c>
      <c r="X36" s="16">
        <f t="shared" si="44"/>
        <v>2.1637355390948256</v>
      </c>
      <c r="Y36" s="16">
        <f t="shared" si="44"/>
        <v>4.8642161830172244</v>
      </c>
      <c r="Z36" s="16">
        <f t="shared" si="44"/>
        <v>2.7049141866558153</v>
      </c>
      <c r="AA36" s="16">
        <f t="shared" si="44"/>
        <v>4.2628233968244302</v>
      </c>
      <c r="AB36" s="16">
        <f t="shared" si="44"/>
        <v>3.0272512826813758</v>
      </c>
      <c r="AC36" s="16">
        <f t="shared" si="44"/>
        <v>3.9484168122395467</v>
      </c>
      <c r="AD36" s="16">
        <f t="shared" si="44"/>
        <v>3.2244231356144324</v>
      </c>
      <c r="AE36" s="16">
        <f t="shared" si="44"/>
        <v>3.7726600014309342</v>
      </c>
      <c r="AF36" s="16">
        <f t="shared" si="44"/>
        <v>3.3446488760589994</v>
      </c>
      <c r="AG36" s="16">
        <f t="shared" si="44"/>
        <v>3.6714084022337512</v>
      </c>
      <c r="AH36" s="16">
        <f t="shared" si="44"/>
        <v>3.4174418517860632</v>
      </c>
      <c r="AI36" s="16">
        <f t="shared" si="44"/>
        <v>3.6122030373721987</v>
      </c>
      <c r="AJ36" s="16">
        <f t="shared" si="44"/>
        <v>3.4612572047247152</v>
      </c>
      <c r="AK36" s="16">
        <f t="shared" si="44"/>
        <v>3.5773105876624318</v>
      </c>
      <c r="AL36" s="16">
        <f t="shared" si="44"/>
        <v>3.4875228452656208</v>
      </c>
      <c r="AM36" s="16">
        <f t="shared" si="44"/>
        <v>3.5566577353833004</v>
      </c>
      <c r="AN36" s="16">
        <f t="shared" si="44"/>
        <v>3.5032265940333636</v>
      </c>
      <c r="AO36" s="16">
        <f t="shared" si="44"/>
        <v>3.5444033035048643</v>
      </c>
      <c r="AP36" s="16">
        <f t="shared" si="44"/>
        <v>3.5126001524874977</v>
      </c>
      <c r="AQ36" s="16">
        <f t="shared" si="44"/>
        <v>3.5371217975971363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0.92912864494549008</v>
      </c>
      <c r="J37" s="22" t="e">
        <f t="shared" si="34"/>
        <v>#DIV/0!</v>
      </c>
      <c r="K37" s="22">
        <f t="shared" si="35"/>
        <v>1.9264772646189463</v>
      </c>
      <c r="L37" s="16">
        <f t="shared" si="7"/>
        <v>0.24080965807736829</v>
      </c>
      <c r="M37" s="16">
        <f t="shared" si="8"/>
        <v>1.0408567321349669</v>
      </c>
      <c r="N37" s="16">
        <f t="shared" si="15"/>
        <v>0.25064835377294831</v>
      </c>
      <c r="O37" s="16">
        <f t="shared" si="16"/>
        <v>0.15113999999999977</v>
      </c>
      <c r="P37" s="16">
        <f t="shared" si="9"/>
        <v>1.8508572843329045</v>
      </c>
      <c r="Q37" s="16">
        <f t="shared" si="10"/>
        <v>0.22417958127515977</v>
      </c>
      <c r="R37" s="16">
        <f t="shared" si="11"/>
        <v>0.7042809256188779</v>
      </c>
      <c r="S37" s="16">
        <f t="shared" si="12"/>
        <v>6.1379185216769707E-3</v>
      </c>
      <c r="T37" s="16">
        <f t="shared" si="13"/>
        <v>0.66</v>
      </c>
      <c r="U37" s="16"/>
      <c r="V37" s="16">
        <f t="shared" si="3"/>
        <v>0.35904205000380462</v>
      </c>
      <c r="W37" s="16">
        <f t="shared" ref="W37:AQ37" si="45">9.81/(2*PI())*$E$9^2*TANH(2*PI()*$H37/V37)</f>
        <v>6.2411133575390254</v>
      </c>
      <c r="X37" s="16">
        <f t="shared" si="45"/>
        <v>1.4148230323225885</v>
      </c>
      <c r="Y37" s="16">
        <f t="shared" si="45"/>
        <v>4.8003062351722887</v>
      </c>
      <c r="Z37" s="16">
        <f t="shared" si="45"/>
        <v>1.8178378139072056</v>
      </c>
      <c r="AA37" s="16">
        <f t="shared" si="45"/>
        <v>4.1172838911326535</v>
      </c>
      <c r="AB37" s="16">
        <f t="shared" si="45"/>
        <v>2.0977861044042956</v>
      </c>
      <c r="AC37" s="16">
        <f t="shared" si="45"/>
        <v>3.7180089563002476</v>
      </c>
      <c r="AD37" s="16">
        <f t="shared" si="45"/>
        <v>2.303034794210908</v>
      </c>
      <c r="AE37" s="16">
        <f t="shared" si="45"/>
        <v>3.4625805504106073</v>
      </c>
      <c r="AF37" s="16">
        <f t="shared" si="45"/>
        <v>2.4554323223524466</v>
      </c>
      <c r="AG37" s="16">
        <f t="shared" si="45"/>
        <v>3.2912583023238828</v>
      </c>
      <c r="AH37" s="16">
        <f t="shared" si="45"/>
        <v>2.5686575334138899</v>
      </c>
      <c r="AI37" s="16">
        <f t="shared" si="45"/>
        <v>3.1731646807015088</v>
      </c>
      <c r="AJ37" s="16">
        <f t="shared" si="45"/>
        <v>2.6525099883798053</v>
      </c>
      <c r="AK37" s="16">
        <f t="shared" si="45"/>
        <v>3.0903881309139671</v>
      </c>
      <c r="AL37" s="16">
        <f t="shared" si="45"/>
        <v>2.714356737306848</v>
      </c>
      <c r="AM37" s="16">
        <f t="shared" si="45"/>
        <v>3.0317441109385221</v>
      </c>
      <c r="AN37" s="16">
        <f t="shared" si="45"/>
        <v>2.7597977367511488</v>
      </c>
      <c r="AO37" s="16">
        <f t="shared" si="45"/>
        <v>2.9899045200877512</v>
      </c>
      <c r="AP37" s="16">
        <f t="shared" si="45"/>
        <v>2.7930765734583649</v>
      </c>
      <c r="AQ37" s="16">
        <f t="shared" si="45"/>
        <v>2.9599127852429761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0.92211275289648376</v>
      </c>
      <c r="J38" s="22" t="e">
        <f t="shared" si="34"/>
        <v>#DIV/0!</v>
      </c>
      <c r="K38" s="22">
        <f t="shared" si="35"/>
        <v>1.9636490751487579</v>
      </c>
      <c r="L38" s="16">
        <f t="shared" si="7"/>
        <v>0.24545613439359473</v>
      </c>
      <c r="M38" s="16">
        <f t="shared" si="8"/>
        <v>1.0105482705359277</v>
      </c>
      <c r="N38" s="16">
        <f t="shared" si="15"/>
        <v>0.24804527210388139</v>
      </c>
      <c r="O38" s="16">
        <f t="shared" si="16"/>
        <v>0.16433999999999979</v>
      </c>
      <c r="P38" s="16">
        <f t="shared" si="9"/>
        <v>1.9431521802589091</v>
      </c>
      <c r="Q38" s="16">
        <f t="shared" si="10"/>
        <v>0.15098520037207266</v>
      </c>
      <c r="R38" s="16">
        <f t="shared" si="11"/>
        <v>0.47433399628968642</v>
      </c>
      <c r="S38" s="16">
        <f t="shared" si="12"/>
        <v>6.5882950574951945E-3</v>
      </c>
      <c r="T38" s="16">
        <f t="shared" si="13"/>
        <v>0.66</v>
      </c>
      <c r="U38" s="16"/>
      <c r="V38" s="16">
        <f t="shared" si="3"/>
        <v>0.39032099206444171</v>
      </c>
      <c r="W38" s="16">
        <f t="shared" ref="W38:AQ38" si="46">9.81/(2*PI())*$E$9^2*TANH(2*PI()*$H38/V38)</f>
        <v>6.2411199969317428</v>
      </c>
      <c r="X38" s="16">
        <f t="shared" si="46"/>
        <v>1.5335570005141332</v>
      </c>
      <c r="Y38" s="16">
        <f t="shared" si="46"/>
        <v>4.8084739245251571</v>
      </c>
      <c r="Z38" s="16">
        <f t="shared" si="46"/>
        <v>1.9631952384510121</v>
      </c>
      <c r="AA38" s="16">
        <f t="shared" si="46"/>
        <v>4.1362997713005507</v>
      </c>
      <c r="AB38" s="16">
        <f t="shared" si="46"/>
        <v>2.2556423239008256</v>
      </c>
      <c r="AC38" s="16">
        <f t="shared" si="46"/>
        <v>3.7489527236970641</v>
      </c>
      <c r="AD38" s="16">
        <f t="shared" si="46"/>
        <v>2.4648108574449545</v>
      </c>
      <c r="AE38" s="16">
        <f t="shared" si="46"/>
        <v>3.5054980860056375</v>
      </c>
      <c r="AF38" s="16">
        <f t="shared" si="46"/>
        <v>2.6158503471935806</v>
      </c>
      <c r="AG38" s="16">
        <f t="shared" si="46"/>
        <v>3.3455053752504611</v>
      </c>
      <c r="AH38" s="16">
        <f t="shared" si="46"/>
        <v>2.724770671601807</v>
      </c>
      <c r="AI38" s="16">
        <f t="shared" si="46"/>
        <v>3.2376799873714797</v>
      </c>
      <c r="AJ38" s="16">
        <f t="shared" si="46"/>
        <v>2.8029826160596043</v>
      </c>
      <c r="AK38" s="16">
        <f t="shared" si="46"/>
        <v>3.1639075737758788</v>
      </c>
      <c r="AL38" s="16">
        <f t="shared" si="46"/>
        <v>2.8588893386895244</v>
      </c>
      <c r="AM38" s="16">
        <f t="shared" si="46"/>
        <v>3.1129561845428273</v>
      </c>
      <c r="AN38" s="16">
        <f t="shared" si="46"/>
        <v>2.8986949346407633</v>
      </c>
      <c r="AO38" s="16">
        <f t="shared" si="46"/>
        <v>3.0775524363086015</v>
      </c>
      <c r="AP38" s="16">
        <f t="shared" si="46"/>
        <v>2.9269477648373141</v>
      </c>
      <c r="AQ38" s="16">
        <f t="shared" si="46"/>
        <v>3.0528536634142327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0.90212293510787955</v>
      </c>
      <c r="J39" s="22" t="e">
        <f t="shared" si="34"/>
        <v>#DIV/0!</v>
      </c>
      <c r="K39" s="22">
        <f t="shared" si="35"/>
        <v>1.880100900537633</v>
      </c>
      <c r="L39" s="16">
        <f t="shared" si="7"/>
        <v>0.23501261256720413</v>
      </c>
      <c r="M39" s="16">
        <f t="shared" si="8"/>
        <v>1.0051189812941421</v>
      </c>
      <c r="N39" s="16">
        <f t="shared" si="15"/>
        <v>0.23621563773482313</v>
      </c>
      <c r="O39" s="16">
        <f t="shared" si="16"/>
        <v>0.20393999999999982</v>
      </c>
      <c r="P39" s="16">
        <f t="shared" si="9"/>
        <v>1.870525714395431</v>
      </c>
      <c r="Q39" s="16">
        <f t="shared" si="10"/>
        <v>0.14737325583706901</v>
      </c>
      <c r="R39" s="16">
        <f t="shared" si="11"/>
        <v>0.4629867378733451</v>
      </c>
      <c r="S39" s="16">
        <f t="shared" si="12"/>
        <v>6.6181256890470467E-3</v>
      </c>
      <c r="T39" s="16">
        <f t="shared" si="13"/>
        <v>0.66</v>
      </c>
      <c r="U39" s="16"/>
      <c r="V39" s="16">
        <f t="shared" si="3"/>
        <v>0.48403370546693247</v>
      </c>
      <c r="W39" s="16">
        <f t="shared" ref="W39:AQ39" si="47">9.81/(2*PI())*$E$9^2*TANH(2*PI()*$H39/V39)</f>
        <v>6.2411431604405907</v>
      </c>
      <c r="X39" s="16">
        <f t="shared" si="47"/>
        <v>1.8824444186315188</v>
      </c>
      <c r="Y39" s="16">
        <f t="shared" si="47"/>
        <v>4.8366812071131795</v>
      </c>
      <c r="Z39" s="16">
        <f t="shared" si="47"/>
        <v>2.3804162852761124</v>
      </c>
      <c r="AA39" s="16">
        <f t="shared" si="47"/>
        <v>4.2010253556522512</v>
      </c>
      <c r="AB39" s="16">
        <f t="shared" si="47"/>
        <v>2.6969130451514292</v>
      </c>
      <c r="AC39" s="16">
        <f t="shared" si="47"/>
        <v>3.8523548291744234</v>
      </c>
      <c r="AD39" s="16">
        <f t="shared" si="47"/>
        <v>2.905537517531168</v>
      </c>
      <c r="AE39" s="16">
        <f t="shared" si="47"/>
        <v>3.6459714936552281</v>
      </c>
      <c r="AF39" s="16">
        <f t="shared" si="47"/>
        <v>3.04327355383972</v>
      </c>
      <c r="AG39" s="16">
        <f t="shared" si="47"/>
        <v>3.5192730096028639</v>
      </c>
      <c r="AH39" s="16">
        <f t="shared" si="47"/>
        <v>3.1337147685107229</v>
      </c>
      <c r="AI39" s="16">
        <f t="shared" si="47"/>
        <v>3.4399852243870006</v>
      </c>
      <c r="AJ39" s="16">
        <f t="shared" si="47"/>
        <v>3.1927523175187136</v>
      </c>
      <c r="AK39" s="16">
        <f t="shared" si="47"/>
        <v>3.389831295492796</v>
      </c>
      <c r="AL39" s="16">
        <f t="shared" si="47"/>
        <v>3.2311082854085922</v>
      </c>
      <c r="AM39" s="16">
        <f t="shared" si="47"/>
        <v>3.3579066534001631</v>
      </c>
      <c r="AN39" s="16">
        <f t="shared" si="47"/>
        <v>3.255942230916042</v>
      </c>
      <c r="AO39" s="16">
        <f t="shared" si="47"/>
        <v>3.337508743059983</v>
      </c>
      <c r="AP39" s="16">
        <f t="shared" si="47"/>
        <v>3.2719831598601226</v>
      </c>
      <c r="AQ39" s="16">
        <f t="shared" si="47"/>
        <v>3.3244454366354215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0.88026436598131785</v>
      </c>
      <c r="J40" s="22" t="e">
        <f t="shared" si="34"/>
        <v>#DIV/0!</v>
      </c>
      <c r="K40" s="22">
        <f t="shared" si="35"/>
        <v>1.7956779482920198</v>
      </c>
      <c r="L40" s="16">
        <f t="shared" si="7"/>
        <v>0.22445974353650247</v>
      </c>
      <c r="M40" s="16">
        <f t="shared" si="8"/>
        <v>1.0031642543516868</v>
      </c>
      <c r="N40" s="16">
        <f t="shared" si="15"/>
        <v>0.22516999125676634</v>
      </c>
      <c r="O40" s="16">
        <f t="shared" si="16"/>
        <v>0.22516999125676634</v>
      </c>
      <c r="P40" s="16">
        <f t="shared" si="9"/>
        <v>1.7900138890540009</v>
      </c>
      <c r="Q40" s="16">
        <f t="shared" si="10"/>
        <v>0.16513435912465219</v>
      </c>
      <c r="R40" s="16">
        <f t="shared" si="11"/>
        <v>0.51878488948126589</v>
      </c>
      <c r="S40" s="16">
        <f t="shared" si="12"/>
        <v>6.4802936961384488E-3</v>
      </c>
      <c r="T40" s="16">
        <f t="shared" si="13"/>
        <v>0.59411607191758931</v>
      </c>
      <c r="U40" s="16"/>
      <c r="V40" s="16">
        <f t="shared" si="3"/>
        <v>0.59308576513855948</v>
      </c>
      <c r="W40" s="16">
        <f t="shared" ref="W40:AQ40" si="48">9.81/(2*PI())*$E$9^2*TANH(2*PI()*$H40/V40)</f>
        <v>6.2411762410108311</v>
      </c>
      <c r="X40" s="16">
        <f t="shared" si="48"/>
        <v>2.2736026667679541</v>
      </c>
      <c r="Y40" s="16">
        <f t="shared" si="48"/>
        <v>4.8761952260806725</v>
      </c>
      <c r="Z40" s="16">
        <f t="shared" si="48"/>
        <v>2.8285437899497481</v>
      </c>
      <c r="AA40" s="16">
        <f t="shared" si="48"/>
        <v>4.2892912273402004</v>
      </c>
      <c r="AB40" s="16">
        <f t="shared" si="48"/>
        <v>3.1500502330783431</v>
      </c>
      <c r="AC40" s="16">
        <f t="shared" si="48"/>
        <v>3.9887974240732955</v>
      </c>
      <c r="AD40" s="16">
        <f t="shared" si="48"/>
        <v>3.3406669788135823</v>
      </c>
      <c r="AE40" s="16">
        <f t="shared" si="48"/>
        <v>3.8248866535178285</v>
      </c>
      <c r="AF40" s="16">
        <f t="shared" si="48"/>
        <v>3.453162657732173</v>
      </c>
      <c r="AG40" s="16">
        <f t="shared" si="48"/>
        <v>3.7329664121804984</v>
      </c>
      <c r="AH40" s="16">
        <f t="shared" si="48"/>
        <v>3.5190704110446558</v>
      </c>
      <c r="AI40" s="16">
        <f t="shared" si="48"/>
        <v>3.6807241125789134</v>
      </c>
      <c r="AJ40" s="16">
        <f t="shared" si="48"/>
        <v>3.5574656538550862</v>
      </c>
      <c r="AK40" s="16">
        <f t="shared" si="48"/>
        <v>3.65082746887694</v>
      </c>
      <c r="AL40" s="16">
        <f t="shared" si="48"/>
        <v>3.5797496883430182</v>
      </c>
      <c r="AM40" s="16">
        <f t="shared" si="48"/>
        <v>3.6336551579932914</v>
      </c>
      <c r="AN40" s="16">
        <f t="shared" si="48"/>
        <v>3.592653107861461</v>
      </c>
      <c r="AO40" s="16">
        <f t="shared" si="48"/>
        <v>3.623771387777992</v>
      </c>
      <c r="AP40" s="16">
        <f t="shared" si="48"/>
        <v>3.600114382021105</v>
      </c>
      <c r="AQ40" s="16">
        <f t="shared" si="48"/>
        <v>3.6180760995624439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0.88026436598131785</v>
      </c>
      <c r="J41" s="22" t="e">
        <f t="shared" si="34"/>
        <v>#DIV/0!</v>
      </c>
      <c r="K41" s="22">
        <f t="shared" si="35"/>
        <v>1.8013599300541308</v>
      </c>
      <c r="L41" s="16">
        <f t="shared" si="7"/>
        <v>0.22516999125676634</v>
      </c>
      <c r="M41" s="16">
        <f t="shared" si="8"/>
        <v>1.0061617379868657</v>
      </c>
      <c r="N41" s="16">
        <f t="shared" si="15"/>
        <v>0.22655742974539539</v>
      </c>
      <c r="O41" s="16">
        <f t="shared" si="16"/>
        <v>0.22655742974539539</v>
      </c>
      <c r="P41" s="16">
        <f t="shared" si="9"/>
        <v>1.7903283955701816</v>
      </c>
      <c r="Q41" s="16">
        <f t="shared" si="10"/>
        <v>0.18232471413302773</v>
      </c>
      <c r="R41" s="16">
        <f t="shared" si="11"/>
        <v>0.57278998248817903</v>
      </c>
      <c r="S41" s="16">
        <f t="shared" si="12"/>
        <v>6.3650740338400107E-3</v>
      </c>
      <c r="T41" s="16">
        <f t="shared" si="13"/>
        <v>0.59777685948653136</v>
      </c>
      <c r="U41" s="16"/>
      <c r="V41" s="16">
        <f t="shared" ref="V41:V72" si="50">9.81/(2*PI())*$E$9^2*TANH(2*PI()*$H41/I$4)</f>
        <v>0.59308576513855948</v>
      </c>
      <c r="W41" s="16">
        <f t="shared" ref="W41:AQ41" si="51">9.81/(2*PI())*$E$9^2*TANH(2*PI()*$H41/V41)</f>
        <v>6.2411762410108311</v>
      </c>
      <c r="X41" s="16">
        <f t="shared" si="51"/>
        <v>2.2736026667679541</v>
      </c>
      <c r="Y41" s="16">
        <f t="shared" si="51"/>
        <v>4.8761952260806725</v>
      </c>
      <c r="Z41" s="16">
        <f t="shared" si="51"/>
        <v>2.8285437899497481</v>
      </c>
      <c r="AA41" s="16">
        <f t="shared" si="51"/>
        <v>4.2892912273402004</v>
      </c>
      <c r="AB41" s="16">
        <f t="shared" si="51"/>
        <v>3.1500502330783431</v>
      </c>
      <c r="AC41" s="16">
        <f t="shared" si="51"/>
        <v>3.9887974240732955</v>
      </c>
      <c r="AD41" s="16">
        <f t="shared" si="51"/>
        <v>3.3406669788135823</v>
      </c>
      <c r="AE41" s="16">
        <f t="shared" si="51"/>
        <v>3.8248866535178285</v>
      </c>
      <c r="AF41" s="16">
        <f t="shared" si="51"/>
        <v>3.453162657732173</v>
      </c>
      <c r="AG41" s="16">
        <f t="shared" si="51"/>
        <v>3.7329664121804984</v>
      </c>
      <c r="AH41" s="16">
        <f t="shared" si="51"/>
        <v>3.5190704110446558</v>
      </c>
      <c r="AI41" s="16">
        <f t="shared" si="51"/>
        <v>3.6807241125789134</v>
      </c>
      <c r="AJ41" s="16">
        <f t="shared" si="51"/>
        <v>3.5574656538550862</v>
      </c>
      <c r="AK41" s="16">
        <f t="shared" si="51"/>
        <v>3.65082746887694</v>
      </c>
      <c r="AL41" s="16">
        <f t="shared" si="51"/>
        <v>3.5797496883430182</v>
      </c>
      <c r="AM41" s="16">
        <f t="shared" si="51"/>
        <v>3.6336551579932914</v>
      </c>
      <c r="AN41" s="16">
        <f t="shared" si="51"/>
        <v>3.592653107861461</v>
      </c>
      <c r="AO41" s="16">
        <f t="shared" si="51"/>
        <v>3.623771387777992</v>
      </c>
      <c r="AP41" s="16">
        <f t="shared" si="51"/>
        <v>3.600114382021105</v>
      </c>
      <c r="AQ41" s="16">
        <f t="shared" si="51"/>
        <v>3.6180760995624439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0.89891910753422377</v>
      </c>
      <c r="J42" s="22" t="e">
        <f t="shared" si="34"/>
        <v>#DIV/0!</v>
      </c>
      <c r="K42" s="22">
        <f t="shared" si="35"/>
        <v>1.8922583388021876</v>
      </c>
      <c r="L42" s="16">
        <f t="shared" si="7"/>
        <v>0.23653229235027345</v>
      </c>
      <c r="M42" s="16">
        <f t="shared" ref="M42:M73" si="52">1/(1+((64*PI()^3)/(3*9.81^2))*((S42*L41*(A42-A41))/(H42^2))*((H42^2)/($E$9^4))*(((L42/L41)^2)/(SINH(2*PI()*H42/AQ41))^3))</f>
        <v>1.0102350160501423</v>
      </c>
      <c r="N42" s="16">
        <f t="shared" si="15"/>
        <v>0.23895320415885546</v>
      </c>
      <c r="O42" s="16">
        <f t="shared" si="16"/>
        <v>0.21053999999999998</v>
      </c>
      <c r="P42" s="16">
        <f t="shared" si="9"/>
        <v>1.8730872606263598</v>
      </c>
      <c r="Q42" s="16">
        <f t="shared" ref="Q42:Q73" si="53">($E$9*R42)/(2*PI())</f>
        <v>0.19995745606034332</v>
      </c>
      <c r="R42" s="16">
        <f t="shared" si="11"/>
        <v>0.62818487498967845</v>
      </c>
      <c r="S42" s="16">
        <f t="shared" si="12"/>
        <v>6.261447564473643E-3</v>
      </c>
      <c r="T42" s="16">
        <f t="shared" si="13"/>
        <v>0.66</v>
      </c>
      <c r="U42" s="16"/>
      <c r="V42" s="16">
        <f t="shared" si="50"/>
        <v>0.49963234931096734</v>
      </c>
      <c r="W42" s="16">
        <f t="shared" ref="W42:AQ42" si="54">9.81/(2*PI())*$E$9^2*TANH(2*PI()*$H42/V42)</f>
        <v>6.2411474900817012</v>
      </c>
      <c r="X42" s="16">
        <f t="shared" si="54"/>
        <v>1.9394291100397114</v>
      </c>
      <c r="Y42" s="16">
        <f t="shared" si="54"/>
        <v>4.8419041653474304</v>
      </c>
      <c r="Z42" s="16">
        <f t="shared" si="54"/>
        <v>2.4470514551232672</v>
      </c>
      <c r="AA42" s="16">
        <f t="shared" si="54"/>
        <v>4.2128514321086259</v>
      </c>
      <c r="AB42" s="16">
        <f t="shared" si="54"/>
        <v>2.7656872045997964</v>
      </c>
      <c r="AC42" s="16">
        <f t="shared" si="54"/>
        <v>3.8709348605803333</v>
      </c>
      <c r="AD42" s="16">
        <f t="shared" si="54"/>
        <v>2.9726934911961869</v>
      </c>
      <c r="AE42" s="16">
        <f t="shared" si="54"/>
        <v>3.6707524054456013</v>
      </c>
      <c r="AF42" s="16">
        <f t="shared" si="54"/>
        <v>3.1072434557504964</v>
      </c>
      <c r="AG42" s="16">
        <f t="shared" si="54"/>
        <v>3.5493580408765877</v>
      </c>
      <c r="AH42" s="16">
        <f t="shared" si="54"/>
        <v>3.1941850843257593</v>
      </c>
      <c r="AI42" s="16">
        <f t="shared" si="54"/>
        <v>3.4743838821934241</v>
      </c>
      <c r="AJ42" s="16">
        <f t="shared" si="54"/>
        <v>3.250029692598893</v>
      </c>
      <c r="AK42" s="16">
        <f t="shared" si="54"/>
        <v>3.4276087888215638</v>
      </c>
      <c r="AL42" s="16">
        <f t="shared" si="54"/>
        <v>3.2857337109407379</v>
      </c>
      <c r="AM42" s="16">
        <f t="shared" si="54"/>
        <v>3.39825588201639</v>
      </c>
      <c r="AN42" s="16">
        <f t="shared" si="54"/>
        <v>3.3084860209025635</v>
      </c>
      <c r="AO42" s="16">
        <f t="shared" si="54"/>
        <v>3.3797719350827427</v>
      </c>
      <c r="AP42" s="16">
        <f t="shared" si="54"/>
        <v>3.3229527381215398</v>
      </c>
      <c r="AQ42" s="16">
        <f t="shared" si="54"/>
        <v>3.3681077579781005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0.94377973521332348</v>
      </c>
      <c r="J43" s="22" t="e">
        <f t="shared" si="34"/>
        <v>#DIV/0!</v>
      </c>
      <c r="K43" s="22">
        <f t="shared" si="35"/>
        <v>2.1788887930590333</v>
      </c>
      <c r="L43" s="16">
        <f t="shared" si="7"/>
        <v>0.27236109913237916</v>
      </c>
      <c r="M43" s="16">
        <f t="shared" si="52"/>
        <v>1.0362937134846792</v>
      </c>
      <c r="N43" s="16">
        <f t="shared" si="15"/>
        <v>0.28224609482866203</v>
      </c>
      <c r="O43" s="16">
        <f t="shared" si="16"/>
        <v>0.12474000000000005</v>
      </c>
      <c r="P43" s="16">
        <f t="shared" si="9"/>
        <v>2.1025784145039554</v>
      </c>
      <c r="Q43" s="16">
        <f t="shared" si="53"/>
        <v>0.241411720858105</v>
      </c>
      <c r="R43" s="16">
        <f t="shared" si="11"/>
        <v>0.75841728873829251</v>
      </c>
      <c r="S43" s="16">
        <f t="shared" si="12"/>
        <v>6.0606401727559683E-3</v>
      </c>
      <c r="T43" s="16">
        <f t="shared" si="13"/>
        <v>0.66</v>
      </c>
      <c r="U43" s="16"/>
      <c r="V43" s="16">
        <f t="shared" si="50"/>
        <v>0.29643148408140724</v>
      </c>
      <c r="W43" s="16">
        <f t="shared" ref="W43:AQ43" si="55">9.81/(2*PI())*$E$9^2*TANH(2*PI()*$H43/V43)</f>
        <v>6.2411017185353028</v>
      </c>
      <c r="X43" s="16">
        <f t="shared" si="55"/>
        <v>1.1741734452161563</v>
      </c>
      <c r="Y43" s="16">
        <f t="shared" si="55"/>
        <v>4.7858987814643408</v>
      </c>
      <c r="Z43" s="16">
        <f t="shared" si="55"/>
        <v>1.518589011071892</v>
      </c>
      <c r="AA43" s="16">
        <f t="shared" si="55"/>
        <v>4.083435526082547</v>
      </c>
      <c r="AB43" s="16">
        <f t="shared" si="55"/>
        <v>1.7666800395158648</v>
      </c>
      <c r="AC43" s="16">
        <f t="shared" si="55"/>
        <v>3.6622724852707487</v>
      </c>
      <c r="AD43" s="16">
        <f t="shared" si="55"/>
        <v>1.9569593845438755</v>
      </c>
      <c r="AE43" s="16">
        <f t="shared" si="55"/>
        <v>3.384200093156152</v>
      </c>
      <c r="AF43" s="16">
        <f t="shared" si="55"/>
        <v>2.1057393815352716</v>
      </c>
      <c r="AG43" s="16">
        <f t="shared" si="55"/>
        <v>3.1906861182325863</v>
      </c>
      <c r="AH43" s="16">
        <f t="shared" si="55"/>
        <v>2.2226838673704954</v>
      </c>
      <c r="AI43" s="16">
        <f t="shared" si="55"/>
        <v>3.0516822652673348</v>
      </c>
      <c r="AJ43" s="16">
        <f t="shared" si="55"/>
        <v>2.3145850741670633</v>
      </c>
      <c r="AK43" s="16">
        <f t="shared" si="55"/>
        <v>2.9497911411409898</v>
      </c>
      <c r="AL43" s="16">
        <f t="shared" si="55"/>
        <v>2.3866367307053902</v>
      </c>
      <c r="AM43" s="16">
        <f t="shared" si="55"/>
        <v>2.8740906369279897</v>
      </c>
      <c r="AN43" s="16">
        <f t="shared" si="55"/>
        <v>2.4429567062196615</v>
      </c>
      <c r="AO43" s="16">
        <f t="shared" si="55"/>
        <v>2.8173265791941344</v>
      </c>
      <c r="AP43" s="16">
        <f t="shared" si="55"/>
        <v>2.4868482114002441</v>
      </c>
      <c r="AQ43" s="16">
        <f t="shared" si="55"/>
        <v>2.7744852997016083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0.97836535062695629</v>
      </c>
      <c r="J44" s="22" t="e">
        <f t="shared" si="34"/>
        <v>#DIV/0!</v>
      </c>
      <c r="K44" s="22">
        <f t="shared" si="35"/>
        <v>2.6541446073776469</v>
      </c>
      <c r="L44" s="16">
        <f t="shared" si="7"/>
        <v>0.33176807592220586</v>
      </c>
      <c r="M44" s="16">
        <f t="shared" si="52"/>
        <v>1.6052976563237642</v>
      </c>
      <c r="N44" s="16">
        <f t="shared" si="15"/>
        <v>0.53258651472096175</v>
      </c>
      <c r="O44" s="16">
        <f t="shared" si="16"/>
        <v>6.5339999999999843E-2</v>
      </c>
      <c r="P44" s="16">
        <f t="shared" si="9"/>
        <v>1.6533660264949308</v>
      </c>
      <c r="Q44" s="16">
        <f t="shared" si="53"/>
        <v>0.1976254071813186</v>
      </c>
      <c r="R44" s="16">
        <f t="shared" si="11"/>
        <v>0.62085852736352209</v>
      </c>
      <c r="S44" s="16">
        <f t="shared" si="12"/>
        <v>6.2744194718846458E-3</v>
      </c>
      <c r="T44" s="16">
        <f t="shared" si="13"/>
        <v>0.66</v>
      </c>
      <c r="U44" s="16"/>
      <c r="V44" s="16">
        <f t="shared" si="50"/>
        <v>0.1553583413296292</v>
      </c>
      <c r="W44" s="16">
        <f t="shared" ref="W44:AQ44" si="56">9.81/(2*PI())*$E$9^2*TANH(2*PI()*$H44/V44)</f>
        <v>6.2410836071337634</v>
      </c>
      <c r="X44" s="16">
        <f t="shared" si="56"/>
        <v>0.6203966861184429</v>
      </c>
      <c r="Y44" s="16">
        <f t="shared" si="56"/>
        <v>4.7632520695063851</v>
      </c>
      <c r="Z44" s="16">
        <f t="shared" si="56"/>
        <v>0.81096405441384545</v>
      </c>
      <c r="AA44" s="16">
        <f t="shared" si="56"/>
        <v>4.0294305169326377</v>
      </c>
      <c r="AB44" s="16">
        <f t="shared" si="56"/>
        <v>0.95651037076871448</v>
      </c>
      <c r="AC44" s="16">
        <f t="shared" si="56"/>
        <v>3.5715503436135219</v>
      </c>
      <c r="AD44" s="16">
        <f t="shared" si="56"/>
        <v>1.0768298112517465</v>
      </c>
      <c r="AE44" s="16">
        <f t="shared" si="56"/>
        <v>3.2535103403573711</v>
      </c>
      <c r="AF44" s="16">
        <f t="shared" si="56"/>
        <v>1.1796822750081484</v>
      </c>
      <c r="AG44" s="16">
        <f t="shared" si="56"/>
        <v>3.0183698791467566</v>
      </c>
      <c r="AH44" s="16">
        <f t="shared" si="56"/>
        <v>1.2691230733546339</v>
      </c>
      <c r="AI44" s="16">
        <f t="shared" si="56"/>
        <v>2.8373351696738194</v>
      </c>
      <c r="AJ44" s="16">
        <f t="shared" si="56"/>
        <v>1.3476364306447495</v>
      </c>
      <c r="AK44" s="16">
        <f t="shared" si="56"/>
        <v>2.6939907162155423</v>
      </c>
      <c r="AL44" s="16">
        <f t="shared" si="56"/>
        <v>1.4169181371880137</v>
      </c>
      <c r="AM44" s="16">
        <f t="shared" si="56"/>
        <v>2.5781602806671575</v>
      </c>
      <c r="AN44" s="16">
        <f t="shared" si="56"/>
        <v>1.4782227917295245</v>
      </c>
      <c r="AO44" s="16">
        <f t="shared" si="56"/>
        <v>2.4831306195548786</v>
      </c>
      <c r="AP44" s="16">
        <f t="shared" si="56"/>
        <v>1.5325370643394618</v>
      </c>
      <c r="AQ44" s="16">
        <f t="shared" si="56"/>
        <v>2.4042547608832279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0.97465276024769021</v>
      </c>
      <c r="J45" s="22" t="e">
        <f t="shared" si="34"/>
        <v>#DIV/0!</v>
      </c>
      <c r="K45" s="22">
        <f t="shared" si="35"/>
        <v>4.1594157014271298</v>
      </c>
      <c r="L45" s="16">
        <f t="shared" si="7"/>
        <v>0.51992696267839122</v>
      </c>
      <c r="M45" s="16">
        <f t="shared" si="52"/>
        <v>1.713053532540264</v>
      </c>
      <c r="N45" s="16">
        <f t="shared" si="15"/>
        <v>0.89066272007914815</v>
      </c>
      <c r="O45" s="16">
        <f t="shared" si="16"/>
        <v>7.193999999999999E-2</v>
      </c>
      <c r="P45" s="16">
        <f t="shared" si="9"/>
        <v>2.4280710569851185</v>
      </c>
      <c r="Q45" s="16">
        <f t="shared" si="53"/>
        <v>9.8655321567215265E-2</v>
      </c>
      <c r="R45" s="16">
        <f t="shared" si="11"/>
        <v>0.30993483347310213</v>
      </c>
      <c r="S45" s="16">
        <f t="shared" si="12"/>
        <v>7.155517065638964E-3</v>
      </c>
      <c r="T45" s="16">
        <f t="shared" si="13"/>
        <v>0.66</v>
      </c>
      <c r="U45" s="16"/>
      <c r="V45" s="16">
        <f t="shared" si="50"/>
        <v>0.17104361450126784</v>
      </c>
      <c r="W45" s="16">
        <f t="shared" ref="W45:AQ45" si="57">9.81/(2*PI())*$E$9^2*TANH(2*PI()*$H45/V45)</f>
        <v>6.2410850635836281</v>
      </c>
      <c r="X45" s="16">
        <f t="shared" si="57"/>
        <v>0.68258547530918079</v>
      </c>
      <c r="Y45" s="16">
        <f t="shared" si="57"/>
        <v>4.7650835057313907</v>
      </c>
      <c r="Z45" s="16">
        <f t="shared" si="57"/>
        <v>0.89147439507726423</v>
      </c>
      <c r="AA45" s="16">
        <f t="shared" si="57"/>
        <v>4.0338346592239596</v>
      </c>
      <c r="AB45" s="16">
        <f t="shared" si="57"/>
        <v>1.0502491269133254</v>
      </c>
      <c r="AC45" s="16">
        <f t="shared" si="57"/>
        <v>3.5790334283551042</v>
      </c>
      <c r="AD45" s="16">
        <f t="shared" si="57"/>
        <v>1.1806841574420457</v>
      </c>
      <c r="AE45" s="16">
        <f t="shared" si="57"/>
        <v>3.2644416276434693</v>
      </c>
      <c r="AF45" s="16">
        <f t="shared" si="57"/>
        <v>1.2913366862969549</v>
      </c>
      <c r="AG45" s="16">
        <f t="shared" si="57"/>
        <v>3.0330170468905182</v>
      </c>
      <c r="AH45" s="16">
        <f t="shared" si="57"/>
        <v>1.3867112387213492</v>
      </c>
      <c r="AI45" s="16">
        <f t="shared" si="57"/>
        <v>2.8558827235146791</v>
      </c>
      <c r="AJ45" s="16">
        <f t="shared" si="57"/>
        <v>1.4696024190780694</v>
      </c>
      <c r="AK45" s="16">
        <f t="shared" si="57"/>
        <v>2.7165522740493722</v>
      </c>
      <c r="AL45" s="16">
        <f t="shared" si="57"/>
        <v>1.5419503727231607</v>
      </c>
      <c r="AM45" s="16">
        <f t="shared" si="57"/>
        <v>2.6047882963464826</v>
      </c>
      <c r="AN45" s="16">
        <f t="shared" si="57"/>
        <v>1.6052171689874495</v>
      </c>
      <c r="AO45" s="16">
        <f t="shared" si="57"/>
        <v>2.513824896693682</v>
      </c>
      <c r="AP45" s="16">
        <f t="shared" si="57"/>
        <v>1.6605722799413889</v>
      </c>
      <c r="AQ45" s="16">
        <f t="shared" si="57"/>
        <v>2.4389702754327183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0.97836535062695629</v>
      </c>
      <c r="J46" s="22" t="e">
        <f t="shared" si="34"/>
        <v>#DIV/0!</v>
      </c>
      <c r="K46" s="22">
        <f t="shared" si="35"/>
        <v>7.2987936834084071</v>
      </c>
      <c r="L46" s="16">
        <f t="shared" si="7"/>
        <v>0.91234921042605088</v>
      </c>
      <c r="M46" s="16">
        <f t="shared" si="52"/>
        <v>2.2627483270692363</v>
      </c>
      <c r="N46" s="16">
        <f t="shared" si="15"/>
        <v>2.0644166495944853</v>
      </c>
      <c r="O46" s="16">
        <f t="shared" si="16"/>
        <v>6.5339999999999843E-2</v>
      </c>
      <c r="P46" s="16">
        <f t="shared" si="9"/>
        <v>3.2256321200608169</v>
      </c>
      <c r="Q46" s="16">
        <f t="shared" si="53"/>
        <v>0.11397444117864401</v>
      </c>
      <c r="R46" s="16">
        <f t="shared" si="11"/>
        <v>0.35806126710383002</v>
      </c>
      <c r="S46" s="16">
        <f t="shared" si="12"/>
        <v>6.9524834979962733E-3</v>
      </c>
      <c r="T46" s="16">
        <f t="shared" si="13"/>
        <v>0.66</v>
      </c>
      <c r="U46" s="16"/>
      <c r="V46" s="16">
        <f t="shared" si="50"/>
        <v>0.1553583413296292</v>
      </c>
      <c r="W46" s="16">
        <f t="shared" ref="W46:AQ46" si="58">9.81/(2*PI())*$E$9^2*TANH(2*PI()*$H46/V46)</f>
        <v>6.2410836071337634</v>
      </c>
      <c r="X46" s="16">
        <f t="shared" si="58"/>
        <v>0.6203966861184429</v>
      </c>
      <c r="Y46" s="16">
        <f t="shared" si="58"/>
        <v>4.7632520695063851</v>
      </c>
      <c r="Z46" s="16">
        <f t="shared" si="58"/>
        <v>0.81096405441384545</v>
      </c>
      <c r="AA46" s="16">
        <f t="shared" si="58"/>
        <v>4.0294305169326377</v>
      </c>
      <c r="AB46" s="16">
        <f t="shared" si="58"/>
        <v>0.95651037076871448</v>
      </c>
      <c r="AC46" s="16">
        <f t="shared" si="58"/>
        <v>3.5715503436135219</v>
      </c>
      <c r="AD46" s="16">
        <f t="shared" si="58"/>
        <v>1.0768298112517465</v>
      </c>
      <c r="AE46" s="16">
        <f t="shared" si="58"/>
        <v>3.2535103403573711</v>
      </c>
      <c r="AF46" s="16">
        <f t="shared" si="58"/>
        <v>1.1796822750081484</v>
      </c>
      <c r="AG46" s="16">
        <f t="shared" si="58"/>
        <v>3.0183698791467566</v>
      </c>
      <c r="AH46" s="16">
        <f t="shared" si="58"/>
        <v>1.2691230733546339</v>
      </c>
      <c r="AI46" s="16">
        <f t="shared" si="58"/>
        <v>2.8373351696738194</v>
      </c>
      <c r="AJ46" s="16">
        <f t="shared" si="58"/>
        <v>1.3476364306447495</v>
      </c>
      <c r="AK46" s="16">
        <f t="shared" si="58"/>
        <v>2.6939907162155423</v>
      </c>
      <c r="AL46" s="16">
        <f t="shared" si="58"/>
        <v>1.4169181371880137</v>
      </c>
      <c r="AM46" s="16">
        <f t="shared" si="58"/>
        <v>2.5781602806671575</v>
      </c>
      <c r="AN46" s="16">
        <f t="shared" si="58"/>
        <v>1.4782227917295245</v>
      </c>
      <c r="AO46" s="16">
        <f t="shared" si="58"/>
        <v>2.4831306195548786</v>
      </c>
      <c r="AP46" s="16">
        <f t="shared" si="58"/>
        <v>1.5325370643394618</v>
      </c>
      <c r="AQ46" s="16">
        <f t="shared" si="58"/>
        <v>2.4042547608832279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0.99392775979121284</v>
      </c>
      <c r="J47" s="22" t="e">
        <f t="shared" si="34"/>
        <v>#DIV/0!</v>
      </c>
      <c r="K47" s="22">
        <f t="shared" si="35"/>
        <v>19.690063586903914</v>
      </c>
      <c r="L47" s="16">
        <f t="shared" si="7"/>
        <v>2.4612579483629893</v>
      </c>
      <c r="M47" s="16">
        <f t="shared" si="52"/>
        <v>-5.9388771418010501E-2</v>
      </c>
      <c r="N47" s="16">
        <f t="shared" si="15"/>
        <v>-0.14617108569609105</v>
      </c>
      <c r="O47" s="16">
        <f t="shared" si="16"/>
        <v>-0.14617108569609105</v>
      </c>
      <c r="P47" s="16">
        <f t="shared" si="9"/>
        <v>-331.54522507823117</v>
      </c>
      <c r="Q47" s="16">
        <f t="shared" si="53"/>
        <v>0.14714168512812309</v>
      </c>
      <c r="R47" s="16">
        <f t="shared" si="11"/>
        <v>0.462259237035334</v>
      </c>
      <c r="S47" s="16">
        <f t="shared" si="12"/>
        <v>6.6200726213360228E-3</v>
      </c>
      <c r="T47" s="16">
        <f t="shared" si="13"/>
        <v>-2.9830833815528828</v>
      </c>
      <c r="U47" s="16"/>
      <c r="V47" s="16">
        <f t="shared" si="50"/>
        <v>7.690651215135412E-2</v>
      </c>
      <c r="W47" s="16">
        <f t="shared" ref="W47:AQ47" si="59">9.81/(2*PI())*$E$9^2*TANH(2*PI()*$H47/V47)</f>
        <v>6.2410784211871153</v>
      </c>
      <c r="X47" s="16">
        <f t="shared" si="59"/>
        <v>0.3078317085096286</v>
      </c>
      <c r="Y47" s="16">
        <f t="shared" si="59"/>
        <v>4.7567162818785578</v>
      </c>
      <c r="Z47" s="16">
        <f t="shared" si="59"/>
        <v>0.40365651360960519</v>
      </c>
      <c r="AA47" s="16">
        <f t="shared" si="59"/>
        <v>4.0136603272966385</v>
      </c>
      <c r="AB47" s="16">
        <f t="shared" si="59"/>
        <v>0.4781166173152207</v>
      </c>
      <c r="AC47" s="16">
        <f t="shared" si="59"/>
        <v>3.5446294105895655</v>
      </c>
      <c r="AD47" s="16">
        <f t="shared" si="59"/>
        <v>0.54108317930866423</v>
      </c>
      <c r="AE47" s="16">
        <f t="shared" si="59"/>
        <v>3.2139513500065804</v>
      </c>
      <c r="AF47" s="16">
        <f t="shared" si="59"/>
        <v>0.59643098103350412</v>
      </c>
      <c r="AG47" s="16">
        <f t="shared" si="59"/>
        <v>2.9649887182341117</v>
      </c>
      <c r="AH47" s="16">
        <f t="shared" si="59"/>
        <v>0.64616744078705624</v>
      </c>
      <c r="AI47" s="16">
        <f t="shared" si="59"/>
        <v>2.7691892014941173</v>
      </c>
      <c r="AJ47" s="16">
        <f t="shared" si="59"/>
        <v>0.69149362899530409</v>
      </c>
      <c r="AK47" s="16">
        <f t="shared" si="59"/>
        <v>2.6103417666360897</v>
      </c>
      <c r="AL47" s="16">
        <f t="shared" si="59"/>
        <v>0.73319652782164602</v>
      </c>
      <c r="AM47" s="16">
        <f t="shared" si="59"/>
        <v>2.4784488648444278</v>
      </c>
      <c r="AN47" s="16">
        <f t="shared" si="59"/>
        <v>0.77182575933363484</v>
      </c>
      <c r="AO47" s="16">
        <f t="shared" si="59"/>
        <v>2.3669558143721892</v>
      </c>
      <c r="AP47" s="16">
        <f t="shared" si="59"/>
        <v>0.8077840853699676</v>
      </c>
      <c r="AQ47" s="16">
        <f t="shared" si="59"/>
        <v>2.2713571368963992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#DIV/0!</v>
      </c>
      <c r="M48" s="16" t="e">
        <f t="shared" si="52"/>
        <v>#DIV/0!</v>
      </c>
      <c r="N48" s="16" t="e">
        <f t="shared" si="15"/>
        <v>#DIV/0!</v>
      </c>
      <c r="O48" s="16" t="e">
        <f t="shared" si="16"/>
        <v>#DIV/0!</v>
      </c>
      <c r="P48" s="16" t="e">
        <f t="shared" si="9"/>
        <v>#VALUE!</v>
      </c>
      <c r="Q48" s="16" t="e">
        <f t="shared" si="53"/>
        <v>#DIV/0!</v>
      </c>
      <c r="R48" s="16" t="e">
        <f t="shared" si="11"/>
        <v>#DIV/0!</v>
      </c>
      <c r="S48" s="16" t="e">
        <f t="shared" si="12"/>
        <v>#DIV/0!</v>
      </c>
      <c r="T48" s="16" t="e">
        <f t="shared" si="13"/>
        <v>#DIV/0!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0.99978500697042882</v>
      </c>
      <c r="J49" s="22" t="e">
        <f t="shared" si="34"/>
        <v>#DIV/0!</v>
      </c>
      <c r="K49" s="22" t="e">
        <f t="shared" si="35"/>
        <v>#DIV/0!</v>
      </c>
      <c r="L49" s="16" t="e">
        <f t="shared" si="7"/>
        <v>#DIV/0!</v>
      </c>
      <c r="M49" s="16" t="e">
        <f t="shared" si="52"/>
        <v>#DIV/0!</v>
      </c>
      <c r="N49" s="16" t="e">
        <f t="shared" si="15"/>
        <v>#DIV/0!</v>
      </c>
      <c r="O49" s="16" t="e">
        <f t="shared" si="16"/>
        <v>#DIV/0!</v>
      </c>
      <c r="P49" s="16" t="e">
        <f t="shared" si="9"/>
        <v>#DIV/0!</v>
      </c>
      <c r="Q49" s="16" t="e">
        <f t="shared" si="53"/>
        <v>#DIV/0!</v>
      </c>
      <c r="R49" s="16" t="e">
        <f t="shared" si="11"/>
        <v>#DIV/0!</v>
      </c>
      <c r="S49" s="16" t="e">
        <f t="shared" si="12"/>
        <v>#DIV/0!</v>
      </c>
      <c r="T49" s="16" t="e">
        <f t="shared" si="13"/>
        <v>#DIV/0!</v>
      </c>
      <c r="U49" s="16"/>
      <c r="V49" s="16">
        <f t="shared" si="50"/>
        <v>1.41263759079311E-2</v>
      </c>
      <c r="W49" s="16">
        <f t="shared" ref="W49:AQ49" si="61">9.81/(2*PI())*$E$9^2*TANH(2*PI()*$H49/V49)</f>
        <v>6.2410767939246652</v>
      </c>
      <c r="X49" s="16">
        <f t="shared" si="61"/>
        <v>5.6584840654027489E-2</v>
      </c>
      <c r="Y49" s="16">
        <f t="shared" si="61"/>
        <v>4.7546607462994688</v>
      </c>
      <c r="Z49" s="16">
        <f t="shared" si="61"/>
        <v>7.4273090802136316E-2</v>
      </c>
      <c r="AA49" s="16">
        <f t="shared" si="61"/>
        <v>4.0086832660654004</v>
      </c>
      <c r="AB49" s="16">
        <f t="shared" si="61"/>
        <v>8.8092910510229883E-2</v>
      </c>
      <c r="AC49" s="16">
        <f t="shared" si="61"/>
        <v>3.5360920584913993</v>
      </c>
      <c r="AD49" s="16">
        <f t="shared" si="61"/>
        <v>9.9864452507688883E-2</v>
      </c>
      <c r="AE49" s="16">
        <f t="shared" si="61"/>
        <v>3.20132906826049</v>
      </c>
      <c r="AF49" s="16">
        <f t="shared" si="61"/>
        <v>0.11030520946682153</v>
      </c>
      <c r="AG49" s="16">
        <f t="shared" si="61"/>
        <v>2.9478302348320939</v>
      </c>
      <c r="AH49" s="16">
        <f t="shared" si="61"/>
        <v>0.11978867780147463</v>
      </c>
      <c r="AI49" s="16">
        <f t="shared" si="61"/>
        <v>2.747096811061517</v>
      </c>
      <c r="AJ49" s="16">
        <f t="shared" si="61"/>
        <v>0.12853938188909261</v>
      </c>
      <c r="AK49" s="16">
        <f t="shared" si="61"/>
        <v>2.5829600176656777</v>
      </c>
      <c r="AL49" s="16">
        <f t="shared" si="61"/>
        <v>0.13670501476984359</v>
      </c>
      <c r="AM49" s="16">
        <f t="shared" si="61"/>
        <v>2.4454574009033161</v>
      </c>
      <c r="AN49" s="16">
        <f t="shared" si="61"/>
        <v>0.14438896640104287</v>
      </c>
      <c r="AO49" s="16">
        <f t="shared" si="61"/>
        <v>2.3280645054703863</v>
      </c>
      <c r="AP49" s="16">
        <f t="shared" si="61"/>
        <v>0.15166700077345169</v>
      </c>
      <c r="AQ49" s="16">
        <f t="shared" si="61"/>
        <v>2.2263025805369643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0.99978500697042882</v>
      </c>
      <c r="J50" s="22" t="e">
        <f t="shared" si="34"/>
        <v>#DIV/0!</v>
      </c>
      <c r="K50" s="22" t="e">
        <f t="shared" si="35"/>
        <v>#DIV/0!</v>
      </c>
      <c r="L50" s="16" t="e">
        <f t="shared" si="7"/>
        <v>#DIV/0!</v>
      </c>
      <c r="M50" s="16" t="e">
        <f t="shared" si="52"/>
        <v>#DIV/0!</v>
      </c>
      <c r="N50" s="16" t="e">
        <f t="shared" si="15"/>
        <v>#DIV/0!</v>
      </c>
      <c r="O50" s="16" t="e">
        <f t="shared" si="16"/>
        <v>#DIV/0!</v>
      </c>
      <c r="P50" s="16" t="e">
        <f t="shared" si="9"/>
        <v>#DIV/0!</v>
      </c>
      <c r="Q50" s="16" t="e">
        <f t="shared" si="53"/>
        <v>#DIV/0!</v>
      </c>
      <c r="R50" s="16" t="e">
        <f t="shared" si="11"/>
        <v>#DIV/0!</v>
      </c>
      <c r="S50" s="16" t="e">
        <f t="shared" si="12"/>
        <v>#DIV/0!</v>
      </c>
      <c r="T50" s="16" t="e">
        <f t="shared" si="13"/>
        <v>#DIV/0!</v>
      </c>
      <c r="U50" s="16"/>
      <c r="V50" s="16">
        <f t="shared" si="50"/>
        <v>1.41263759079311E-2</v>
      </c>
      <c r="W50" s="16">
        <f t="shared" ref="W50:AQ50" si="62">9.81/(2*PI())*$E$9^2*TANH(2*PI()*$H50/V50)</f>
        <v>6.2410767939246652</v>
      </c>
      <c r="X50" s="16">
        <f t="shared" si="62"/>
        <v>5.6584840654027489E-2</v>
      </c>
      <c r="Y50" s="16">
        <f t="shared" si="62"/>
        <v>4.7546607462994688</v>
      </c>
      <c r="Z50" s="16">
        <f t="shared" si="62"/>
        <v>7.4273090802136316E-2</v>
      </c>
      <c r="AA50" s="16">
        <f t="shared" si="62"/>
        <v>4.0086832660654004</v>
      </c>
      <c r="AB50" s="16">
        <f t="shared" si="62"/>
        <v>8.8092910510229883E-2</v>
      </c>
      <c r="AC50" s="16">
        <f t="shared" si="62"/>
        <v>3.5360920584913993</v>
      </c>
      <c r="AD50" s="16">
        <f t="shared" si="62"/>
        <v>9.9864452507688883E-2</v>
      </c>
      <c r="AE50" s="16">
        <f t="shared" si="62"/>
        <v>3.20132906826049</v>
      </c>
      <c r="AF50" s="16">
        <f t="shared" si="62"/>
        <v>0.11030520946682153</v>
      </c>
      <c r="AG50" s="16">
        <f t="shared" si="62"/>
        <v>2.9478302348320939</v>
      </c>
      <c r="AH50" s="16">
        <f t="shared" si="62"/>
        <v>0.11978867780147463</v>
      </c>
      <c r="AI50" s="16">
        <f t="shared" si="62"/>
        <v>2.747096811061517</v>
      </c>
      <c r="AJ50" s="16">
        <f t="shared" si="62"/>
        <v>0.12853938188909261</v>
      </c>
      <c r="AK50" s="16">
        <f t="shared" si="62"/>
        <v>2.5829600176656777</v>
      </c>
      <c r="AL50" s="16">
        <f t="shared" si="62"/>
        <v>0.13670501476984359</v>
      </c>
      <c r="AM50" s="16">
        <f t="shared" si="62"/>
        <v>2.4454574009033161</v>
      </c>
      <c r="AN50" s="16">
        <f t="shared" si="62"/>
        <v>0.14438896640104287</v>
      </c>
      <c r="AO50" s="16">
        <f t="shared" si="62"/>
        <v>2.3280645054703863</v>
      </c>
      <c r="AP50" s="16">
        <f t="shared" si="62"/>
        <v>0.15166700077345169</v>
      </c>
      <c r="AQ50" s="16">
        <f t="shared" si="62"/>
        <v>2.2263025805369643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#DIV/0!</v>
      </c>
      <c r="M51" s="16" t="e">
        <f t="shared" si="52"/>
        <v>#DIV/0!</v>
      </c>
      <c r="N51" s="16" t="e">
        <f t="shared" si="15"/>
        <v>#DIV/0!</v>
      </c>
      <c r="O51" s="16" t="e">
        <f t="shared" si="16"/>
        <v>#DIV/0!</v>
      </c>
      <c r="P51" s="16" t="e">
        <f t="shared" si="9"/>
        <v>#VALUE!</v>
      </c>
      <c r="Q51" s="16" t="e">
        <f t="shared" si="53"/>
        <v>#DIV/0!</v>
      </c>
      <c r="R51" s="16" t="e">
        <f t="shared" si="11"/>
        <v>#DIV/0!</v>
      </c>
      <c r="S51" s="16" t="e">
        <f t="shared" si="12"/>
        <v>#DIV/0!</v>
      </c>
      <c r="T51" s="16" t="e">
        <f t="shared" si="13"/>
        <v>#DIV/0!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#DIV/0!</v>
      </c>
      <c r="M52" s="16" t="e">
        <f t="shared" si="52"/>
        <v>#DIV/0!</v>
      </c>
      <c r="N52" s="16" t="e">
        <f t="shared" si="15"/>
        <v>#DIV/0!</v>
      </c>
      <c r="O52" s="16" t="e">
        <f t="shared" si="16"/>
        <v>#DIV/0!</v>
      </c>
      <c r="P52" s="16" t="e">
        <f t="shared" si="9"/>
        <v>#VALUE!</v>
      </c>
      <c r="Q52" s="16" t="e">
        <f t="shared" si="53"/>
        <v>#DIV/0!</v>
      </c>
      <c r="R52" s="16" t="e">
        <f t="shared" si="11"/>
        <v>#DIV/0!</v>
      </c>
      <c r="S52" s="16" t="e">
        <f t="shared" si="12"/>
        <v>#DIV/0!</v>
      </c>
      <c r="T52" s="16" t="e">
        <f t="shared" si="13"/>
        <v>#DIV/0!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#DIV/0!</v>
      </c>
      <c r="M53" s="16" t="e">
        <f t="shared" si="52"/>
        <v>#DIV/0!</v>
      </c>
      <c r="N53" s="16" t="e">
        <f t="shared" si="15"/>
        <v>#DIV/0!</v>
      </c>
      <c r="O53" s="16" t="e">
        <f t="shared" si="16"/>
        <v>#DIV/0!</v>
      </c>
      <c r="P53" s="16" t="e">
        <f t="shared" si="9"/>
        <v>#VALUE!</v>
      </c>
      <c r="Q53" s="16" t="e">
        <f t="shared" si="53"/>
        <v>#DIV/0!</v>
      </c>
      <c r="R53" s="16" t="e">
        <f t="shared" si="11"/>
        <v>#DIV/0!</v>
      </c>
      <c r="S53" s="16" t="e">
        <f t="shared" si="12"/>
        <v>#DIV/0!</v>
      </c>
      <c r="T53" s="16" t="e">
        <f t="shared" si="13"/>
        <v>#DIV/0!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#DIV/0!</v>
      </c>
      <c r="M54" s="16" t="e">
        <f t="shared" si="52"/>
        <v>#DIV/0!</v>
      </c>
      <c r="N54" s="16" t="e">
        <f t="shared" si="15"/>
        <v>#DIV/0!</v>
      </c>
      <c r="O54" s="16" t="e">
        <f t="shared" si="16"/>
        <v>#DIV/0!</v>
      </c>
      <c r="P54" s="16" t="e">
        <f t="shared" si="9"/>
        <v>#VALUE!</v>
      </c>
      <c r="Q54" s="16" t="e">
        <f t="shared" si="53"/>
        <v>#DIV/0!</v>
      </c>
      <c r="R54" s="16" t="e">
        <f t="shared" si="11"/>
        <v>#DIV/0!</v>
      </c>
      <c r="S54" s="16" t="e">
        <f t="shared" si="12"/>
        <v>#DIV/0!</v>
      </c>
      <c r="T54" s="16" t="e">
        <f t="shared" si="13"/>
        <v>#DIV/0!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#DIV/0!</v>
      </c>
      <c r="M55" s="16" t="e">
        <f t="shared" si="52"/>
        <v>#DIV/0!</v>
      </c>
      <c r="N55" s="16" t="e">
        <f t="shared" si="15"/>
        <v>#DIV/0!</v>
      </c>
      <c r="O55" s="16" t="e">
        <f t="shared" si="16"/>
        <v>#DIV/0!</v>
      </c>
      <c r="P55" s="16" t="e">
        <f t="shared" si="9"/>
        <v>#VALUE!</v>
      </c>
      <c r="Q55" s="16" t="e">
        <f t="shared" si="53"/>
        <v>#DIV/0!</v>
      </c>
      <c r="R55" s="16" t="e">
        <f t="shared" si="11"/>
        <v>#DIV/0!</v>
      </c>
      <c r="S55" s="16" t="e">
        <f t="shared" si="12"/>
        <v>#DIV/0!</v>
      </c>
      <c r="T55" s="16" t="e">
        <f t="shared" si="13"/>
        <v>#DIV/0!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#DIV/0!</v>
      </c>
      <c r="M56" s="16" t="e">
        <f t="shared" si="52"/>
        <v>#DIV/0!</v>
      </c>
      <c r="N56" s="16" t="e">
        <f t="shared" si="15"/>
        <v>#DIV/0!</v>
      </c>
      <c r="O56" s="16" t="e">
        <f t="shared" si="16"/>
        <v>#DIV/0!</v>
      </c>
      <c r="P56" s="16" t="e">
        <f t="shared" si="9"/>
        <v>#VALUE!</v>
      </c>
      <c r="Q56" s="16" t="e">
        <f t="shared" si="53"/>
        <v>#DIV/0!</v>
      </c>
      <c r="R56" s="16" t="e">
        <f t="shared" si="11"/>
        <v>#DIV/0!</v>
      </c>
      <c r="S56" s="16" t="e">
        <f t="shared" si="12"/>
        <v>#DIV/0!</v>
      </c>
      <c r="T56" s="16" t="e">
        <f t="shared" si="13"/>
        <v>#DIV/0!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#DIV/0!</v>
      </c>
      <c r="M57" s="16" t="e">
        <f t="shared" si="52"/>
        <v>#DIV/0!</v>
      </c>
      <c r="N57" s="16" t="e">
        <f t="shared" si="15"/>
        <v>#DIV/0!</v>
      </c>
      <c r="O57" s="16" t="e">
        <f t="shared" si="16"/>
        <v>#DIV/0!</v>
      </c>
      <c r="P57" s="16" t="e">
        <f t="shared" si="9"/>
        <v>#VALUE!</v>
      </c>
      <c r="Q57" s="16" t="e">
        <f t="shared" si="53"/>
        <v>#DIV/0!</v>
      </c>
      <c r="R57" s="16" t="e">
        <f t="shared" si="11"/>
        <v>#DIV/0!</v>
      </c>
      <c r="S57" s="16" t="e">
        <f t="shared" si="12"/>
        <v>#DIV/0!</v>
      </c>
      <c r="T57" s="16" t="e">
        <f t="shared" si="13"/>
        <v>#DIV/0!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#DIV/0!</v>
      </c>
      <c r="M58" s="16" t="e">
        <f t="shared" si="52"/>
        <v>#DIV/0!</v>
      </c>
      <c r="N58" s="16" t="e">
        <f t="shared" si="15"/>
        <v>#DIV/0!</v>
      </c>
      <c r="O58" s="16" t="e">
        <f t="shared" si="16"/>
        <v>#DIV/0!</v>
      </c>
      <c r="P58" s="16" t="e">
        <f t="shared" si="9"/>
        <v>#VALUE!</v>
      </c>
      <c r="Q58" s="16" t="e">
        <f t="shared" si="53"/>
        <v>#DIV/0!</v>
      </c>
      <c r="R58" s="16" t="e">
        <f t="shared" si="11"/>
        <v>#DIV/0!</v>
      </c>
      <c r="S58" s="16" t="e">
        <f t="shared" si="12"/>
        <v>#DIV/0!</v>
      </c>
      <c r="T58" s="16" t="e">
        <f t="shared" si="13"/>
        <v>#DIV/0!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#DIV/0!</v>
      </c>
      <c r="M59" s="16" t="e">
        <f t="shared" si="52"/>
        <v>#DIV/0!</v>
      </c>
      <c r="N59" s="16" t="e">
        <f t="shared" si="15"/>
        <v>#DIV/0!</v>
      </c>
      <c r="O59" s="16" t="e">
        <f t="shared" si="16"/>
        <v>#DIV/0!</v>
      </c>
      <c r="P59" s="16" t="e">
        <f t="shared" si="9"/>
        <v>#VALUE!</v>
      </c>
      <c r="Q59" s="16" t="e">
        <f t="shared" si="53"/>
        <v>#DIV/0!</v>
      </c>
      <c r="R59" s="16" t="e">
        <f t="shared" si="11"/>
        <v>#DIV/0!</v>
      </c>
      <c r="S59" s="16" t="e">
        <f t="shared" si="12"/>
        <v>#DIV/0!</v>
      </c>
      <c r="T59" s="16" t="e">
        <f t="shared" si="13"/>
        <v>#DIV/0!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#DIV/0!</v>
      </c>
      <c r="M60" s="16" t="e">
        <f t="shared" si="52"/>
        <v>#DIV/0!</v>
      </c>
      <c r="N60" s="16" t="e">
        <f t="shared" si="15"/>
        <v>#DIV/0!</v>
      </c>
      <c r="O60" s="16" t="e">
        <f t="shared" si="16"/>
        <v>#DIV/0!</v>
      </c>
      <c r="P60" s="16" t="e">
        <f t="shared" si="9"/>
        <v>#VALUE!</v>
      </c>
      <c r="Q60" s="16" t="e">
        <f t="shared" si="53"/>
        <v>#DIV/0!</v>
      </c>
      <c r="R60" s="16" t="e">
        <f t="shared" si="11"/>
        <v>#DIV/0!</v>
      </c>
      <c r="S60" s="16" t="e">
        <f t="shared" si="12"/>
        <v>#DIV/0!</v>
      </c>
      <c r="T60" s="16" t="e">
        <f t="shared" si="13"/>
        <v>#DIV/0!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#DIV/0!</v>
      </c>
      <c r="M61" s="16" t="e">
        <f t="shared" si="52"/>
        <v>#DIV/0!</v>
      </c>
      <c r="N61" s="16" t="e">
        <f t="shared" si="15"/>
        <v>#DIV/0!</v>
      </c>
      <c r="O61" s="16" t="e">
        <f t="shared" si="16"/>
        <v>#DIV/0!</v>
      </c>
      <c r="P61" s="16" t="e">
        <f t="shared" si="9"/>
        <v>#VALUE!</v>
      </c>
      <c r="Q61" s="16" t="e">
        <f t="shared" si="53"/>
        <v>#DIV/0!</v>
      </c>
      <c r="R61" s="16" t="e">
        <f t="shared" si="11"/>
        <v>#DIV/0!</v>
      </c>
      <c r="S61" s="16" t="e">
        <f t="shared" si="12"/>
        <v>#DIV/0!</v>
      </c>
      <c r="T61" s="16" t="e">
        <f t="shared" si="13"/>
        <v>#DIV/0!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#DIV/0!</v>
      </c>
      <c r="M62" s="16" t="e">
        <f t="shared" si="52"/>
        <v>#DIV/0!</v>
      </c>
      <c r="N62" s="16" t="e">
        <f t="shared" si="15"/>
        <v>#DIV/0!</v>
      </c>
      <c r="O62" s="16" t="e">
        <f t="shared" si="16"/>
        <v>#DIV/0!</v>
      </c>
      <c r="P62" s="16" t="e">
        <f t="shared" si="9"/>
        <v>#VALUE!</v>
      </c>
      <c r="Q62" s="16" t="e">
        <f t="shared" si="53"/>
        <v>#DIV/0!</v>
      </c>
      <c r="R62" s="16" t="e">
        <f t="shared" si="11"/>
        <v>#DIV/0!</v>
      </c>
      <c r="S62" s="16" t="e">
        <f t="shared" si="12"/>
        <v>#DIV/0!</v>
      </c>
      <c r="T62" s="16" t="e">
        <f t="shared" si="13"/>
        <v>#DIV/0!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#DIV/0!</v>
      </c>
      <c r="M63" s="16" t="e">
        <f t="shared" si="52"/>
        <v>#DIV/0!</v>
      </c>
      <c r="N63" s="16" t="e">
        <f t="shared" si="15"/>
        <v>#DIV/0!</v>
      </c>
      <c r="O63" s="16" t="e">
        <f t="shared" si="16"/>
        <v>#DIV/0!</v>
      </c>
      <c r="P63" s="16" t="e">
        <f t="shared" si="9"/>
        <v>#VALUE!</v>
      </c>
      <c r="Q63" s="16" t="e">
        <f t="shared" si="53"/>
        <v>#DIV/0!</v>
      </c>
      <c r="R63" s="16" t="e">
        <f t="shared" si="11"/>
        <v>#DIV/0!</v>
      </c>
      <c r="S63" s="16" t="e">
        <f t="shared" si="12"/>
        <v>#DIV/0!</v>
      </c>
      <c r="T63" s="16" t="e">
        <f t="shared" si="13"/>
        <v>#DIV/0!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#DIV/0!</v>
      </c>
      <c r="M64" s="16" t="e">
        <f t="shared" si="52"/>
        <v>#DIV/0!</v>
      </c>
      <c r="N64" s="16" t="e">
        <f t="shared" si="15"/>
        <v>#DIV/0!</v>
      </c>
      <c r="O64" s="16" t="e">
        <f t="shared" si="16"/>
        <v>#DIV/0!</v>
      </c>
      <c r="P64" s="16" t="e">
        <f t="shared" si="9"/>
        <v>#VALUE!</v>
      </c>
      <c r="Q64" s="16" t="e">
        <f t="shared" si="53"/>
        <v>#DIV/0!</v>
      </c>
      <c r="R64" s="16" t="e">
        <f t="shared" si="11"/>
        <v>#DIV/0!</v>
      </c>
      <c r="S64" s="16" t="e">
        <f t="shared" si="12"/>
        <v>#DIV/0!</v>
      </c>
      <c r="T64" s="16" t="e">
        <f t="shared" si="13"/>
        <v>#DIV/0!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#DIV/0!</v>
      </c>
      <c r="M65" s="16" t="e">
        <f t="shared" si="52"/>
        <v>#DIV/0!</v>
      </c>
      <c r="N65" s="16" t="e">
        <f t="shared" si="15"/>
        <v>#DIV/0!</v>
      </c>
      <c r="O65" s="16" t="e">
        <f t="shared" si="16"/>
        <v>#DIV/0!</v>
      </c>
      <c r="P65" s="16" t="e">
        <f t="shared" si="9"/>
        <v>#VALUE!</v>
      </c>
      <c r="Q65" s="16" t="e">
        <f t="shared" si="53"/>
        <v>#DIV/0!</v>
      </c>
      <c r="R65" s="16" t="e">
        <f t="shared" si="11"/>
        <v>#DIV/0!</v>
      </c>
      <c r="S65" s="16" t="e">
        <f t="shared" si="12"/>
        <v>#DIV/0!</v>
      </c>
      <c r="T65" s="16" t="e">
        <f t="shared" si="13"/>
        <v>#DIV/0!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#DIV/0!</v>
      </c>
      <c r="M66" s="16" t="e">
        <f t="shared" si="52"/>
        <v>#DIV/0!</v>
      </c>
      <c r="N66" s="16" t="e">
        <f t="shared" si="15"/>
        <v>#DIV/0!</v>
      </c>
      <c r="O66" s="16" t="e">
        <f t="shared" si="16"/>
        <v>#DIV/0!</v>
      </c>
      <c r="P66" s="16" t="e">
        <f t="shared" si="9"/>
        <v>#VALUE!</v>
      </c>
      <c r="Q66" s="16" t="e">
        <f t="shared" si="53"/>
        <v>#DIV/0!</v>
      </c>
      <c r="R66" s="16" t="e">
        <f t="shared" si="11"/>
        <v>#DIV/0!</v>
      </c>
      <c r="S66" s="16" t="e">
        <f t="shared" si="12"/>
        <v>#DIV/0!</v>
      </c>
      <c r="T66" s="16" t="e">
        <f t="shared" si="13"/>
        <v>#DIV/0!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#DIV/0!</v>
      </c>
      <c r="M67" s="16" t="e">
        <f t="shared" si="52"/>
        <v>#DIV/0!</v>
      </c>
      <c r="N67" s="16" t="e">
        <f t="shared" si="15"/>
        <v>#DIV/0!</v>
      </c>
      <c r="O67" s="16" t="e">
        <f t="shared" si="16"/>
        <v>#DIV/0!</v>
      </c>
      <c r="P67" s="16" t="e">
        <f t="shared" si="9"/>
        <v>#VALUE!</v>
      </c>
      <c r="Q67" s="16" t="e">
        <f t="shared" si="53"/>
        <v>#DIV/0!</v>
      </c>
      <c r="R67" s="16" t="e">
        <f t="shared" si="11"/>
        <v>#DIV/0!</v>
      </c>
      <c r="S67" s="16" t="e">
        <f t="shared" si="12"/>
        <v>#DIV/0!</v>
      </c>
      <c r="T67" s="16" t="e">
        <f t="shared" si="13"/>
        <v>#DIV/0!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#DIV/0!</v>
      </c>
      <c r="M68" s="16" t="e">
        <f t="shared" si="52"/>
        <v>#DIV/0!</v>
      </c>
      <c r="N68" s="16" t="e">
        <f t="shared" si="15"/>
        <v>#DIV/0!</v>
      </c>
      <c r="O68" s="16" t="e">
        <f t="shared" si="16"/>
        <v>#DIV/0!</v>
      </c>
      <c r="P68" s="16" t="e">
        <f t="shared" si="9"/>
        <v>#VALUE!</v>
      </c>
      <c r="Q68" s="16" t="e">
        <f t="shared" si="53"/>
        <v>#DIV/0!</v>
      </c>
      <c r="R68" s="16" t="e">
        <f t="shared" si="11"/>
        <v>#DIV/0!</v>
      </c>
      <c r="S68" s="16" t="e">
        <f t="shared" si="12"/>
        <v>#DIV/0!</v>
      </c>
      <c r="T68" s="16" t="e">
        <f t="shared" si="13"/>
        <v>#DIV/0!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#DIV/0!</v>
      </c>
      <c r="M69" s="16" t="e">
        <f t="shared" si="52"/>
        <v>#DIV/0!</v>
      </c>
      <c r="N69" s="16" t="e">
        <f t="shared" si="15"/>
        <v>#DIV/0!</v>
      </c>
      <c r="O69" s="16" t="e">
        <f t="shared" si="16"/>
        <v>#DIV/0!</v>
      </c>
      <c r="P69" s="16" t="e">
        <f t="shared" si="9"/>
        <v>#VALUE!</v>
      </c>
      <c r="Q69" s="16" t="e">
        <f t="shared" si="53"/>
        <v>#DIV/0!</v>
      </c>
      <c r="R69" s="16" t="e">
        <f t="shared" si="11"/>
        <v>#DIV/0!</v>
      </c>
      <c r="S69" s="16" t="e">
        <f t="shared" si="12"/>
        <v>#DIV/0!</v>
      </c>
      <c r="T69" s="16" t="e">
        <f t="shared" si="13"/>
        <v>#DIV/0!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#DIV/0!</v>
      </c>
      <c r="M70" s="16" t="e">
        <f t="shared" si="52"/>
        <v>#DIV/0!</v>
      </c>
      <c r="N70" s="16" t="e">
        <f t="shared" si="15"/>
        <v>#DIV/0!</v>
      </c>
      <c r="O70" s="16" t="e">
        <f t="shared" si="16"/>
        <v>#DIV/0!</v>
      </c>
      <c r="P70" s="16" t="e">
        <f t="shared" si="9"/>
        <v>#VALUE!</v>
      </c>
      <c r="Q70" s="16" t="e">
        <f t="shared" si="53"/>
        <v>#DIV/0!</v>
      </c>
      <c r="R70" s="16" t="e">
        <f t="shared" si="11"/>
        <v>#DIV/0!</v>
      </c>
      <c r="S70" s="16" t="e">
        <f t="shared" si="12"/>
        <v>#DIV/0!</v>
      </c>
      <c r="T70" s="16" t="e">
        <f t="shared" si="13"/>
        <v>#DIV/0!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#DIV/0!</v>
      </c>
      <c r="M71" s="16" t="e">
        <f t="shared" si="52"/>
        <v>#DIV/0!</v>
      </c>
      <c r="N71" s="16" t="e">
        <f t="shared" si="15"/>
        <v>#DIV/0!</v>
      </c>
      <c r="O71" s="16" t="e">
        <f t="shared" si="16"/>
        <v>#DIV/0!</v>
      </c>
      <c r="P71" s="16" t="e">
        <f t="shared" si="9"/>
        <v>#VALUE!</v>
      </c>
      <c r="Q71" s="16" t="e">
        <f t="shared" si="53"/>
        <v>#DIV/0!</v>
      </c>
      <c r="R71" s="16" t="e">
        <f t="shared" si="11"/>
        <v>#DIV/0!</v>
      </c>
      <c r="S71" s="16" t="e">
        <f t="shared" si="12"/>
        <v>#DIV/0!</v>
      </c>
      <c r="T71" s="16" t="e">
        <f t="shared" si="13"/>
        <v>#DIV/0!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#DIV/0!</v>
      </c>
      <c r="M72" s="16" t="e">
        <f t="shared" si="52"/>
        <v>#DIV/0!</v>
      </c>
      <c r="N72" s="16" t="e">
        <f t="shared" si="15"/>
        <v>#DIV/0!</v>
      </c>
      <c r="O72" s="16" t="e">
        <f t="shared" si="16"/>
        <v>#DIV/0!</v>
      </c>
      <c r="P72" s="16" t="e">
        <f t="shared" si="9"/>
        <v>#VALUE!</v>
      </c>
      <c r="Q72" s="16" t="e">
        <f t="shared" si="53"/>
        <v>#DIV/0!</v>
      </c>
      <c r="R72" s="16" t="e">
        <f t="shared" si="11"/>
        <v>#DIV/0!</v>
      </c>
      <c r="S72" s="16" t="e">
        <f t="shared" si="12"/>
        <v>#DIV/0!</v>
      </c>
      <c r="T72" s="16" t="e">
        <f t="shared" si="13"/>
        <v>#DIV/0!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#DIV/0!</v>
      </c>
      <c r="M73" s="16" t="e">
        <f t="shared" si="52"/>
        <v>#DIV/0!</v>
      </c>
      <c r="N73" s="16" t="e">
        <f t="shared" si="15"/>
        <v>#DIV/0!</v>
      </c>
      <c r="O73" s="16" t="e">
        <f t="shared" si="16"/>
        <v>#DIV/0!</v>
      </c>
      <c r="P73" s="16" t="e">
        <f t="shared" si="9"/>
        <v>#VALUE!</v>
      </c>
      <c r="Q73" s="16" t="e">
        <f t="shared" si="53"/>
        <v>#DIV/0!</v>
      </c>
      <c r="R73" s="16" t="e">
        <f t="shared" si="11"/>
        <v>#DIV/0!</v>
      </c>
      <c r="S73" s="16" t="e">
        <f t="shared" si="12"/>
        <v>#DIV/0!</v>
      </c>
      <c r="T73" s="16" t="e">
        <f t="shared" si="13"/>
        <v>#DIV/0!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#DIV/0!</v>
      </c>
      <c r="M74" s="16" t="e">
        <f t="shared" ref="M74:M100" si="90">1/(1+((64*PI()^3)/(3*9.81^2))*((S74*L73*(A74-A73))/(H74^2))*((H74^2)/($E$9^4))*(((L74/L73)^2)/(SINH(2*PI()*H74/AQ73))^3))</f>
        <v>#DIV/0!</v>
      </c>
      <c r="N74" s="16" t="e">
        <f t="shared" si="15"/>
        <v>#DIV/0!</v>
      </c>
      <c r="O74" s="16" t="e">
        <f t="shared" si="16"/>
        <v>#DIV/0!</v>
      </c>
      <c r="P74" s="16" t="e">
        <f t="shared" ref="P74:P100" si="91">K74/M74</f>
        <v>#VALUE!</v>
      </c>
      <c r="Q74" s="16" t="e">
        <f t="shared" ref="Q74:Q100" si="92">($E$9*R74)/(2*PI())</f>
        <v>#DIV/0!</v>
      </c>
      <c r="R74" s="16" t="e">
        <f t="shared" ref="R74:R100" si="93">(O73/2)*SQRT(9.81/H74)</f>
        <v>#DIV/0!</v>
      </c>
      <c r="S74" s="16" t="e">
        <f t="shared" ref="S74:S100" si="94">EXP((5.213*((2.5*$I$6)/Q74)^0.195)-5.977)</f>
        <v>#DIV/0!</v>
      </c>
      <c r="T74" s="16" t="e">
        <f t="shared" ref="T74:T100" si="95">O74/H74</f>
        <v>#DIV/0!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#DIV/0!</v>
      </c>
      <c r="M75" s="16" t="e">
        <f t="shared" si="90"/>
        <v>#DIV/0!</v>
      </c>
      <c r="N75" s="16" t="e">
        <f t="shared" ref="N75:N100" si="97">M75*L75</f>
        <v>#DIV/0!</v>
      </c>
      <c r="O75" s="16" t="e">
        <f t="shared" ref="O75:O100" si="98">IF(N75/H75&gt;0.66,0.66*H75,N75)</f>
        <v>#DIV/0!</v>
      </c>
      <c r="P75" s="16" t="e">
        <f t="shared" si="91"/>
        <v>#VALUE!</v>
      </c>
      <c r="Q75" s="16" t="e">
        <f t="shared" si="92"/>
        <v>#DIV/0!</v>
      </c>
      <c r="R75" s="16" t="e">
        <f t="shared" si="93"/>
        <v>#DIV/0!</v>
      </c>
      <c r="S75" s="16" t="e">
        <f t="shared" si="94"/>
        <v>#DIV/0!</v>
      </c>
      <c r="T75" s="16" t="e">
        <f t="shared" si="95"/>
        <v>#DIV/0!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#DIV/0!</v>
      </c>
      <c r="M76" s="16" t="e">
        <f t="shared" si="90"/>
        <v>#DIV/0!</v>
      </c>
      <c r="N76" s="16" t="e">
        <f t="shared" si="97"/>
        <v>#DIV/0!</v>
      </c>
      <c r="O76" s="16" t="e">
        <f t="shared" si="98"/>
        <v>#DIV/0!</v>
      </c>
      <c r="P76" s="16" t="e">
        <f t="shared" si="91"/>
        <v>#VALUE!</v>
      </c>
      <c r="Q76" s="16" t="e">
        <f t="shared" si="92"/>
        <v>#DIV/0!</v>
      </c>
      <c r="R76" s="16" t="e">
        <f t="shared" si="93"/>
        <v>#DIV/0!</v>
      </c>
      <c r="S76" s="16" t="e">
        <f t="shared" si="94"/>
        <v>#DIV/0!</v>
      </c>
      <c r="T76" s="16" t="e">
        <f t="shared" si="95"/>
        <v>#DIV/0!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#DIV/0!</v>
      </c>
      <c r="M77" s="16" t="e">
        <f t="shared" si="90"/>
        <v>#DIV/0!</v>
      </c>
      <c r="N77" s="16" t="e">
        <f t="shared" si="97"/>
        <v>#DIV/0!</v>
      </c>
      <c r="O77" s="16" t="e">
        <f t="shared" si="98"/>
        <v>#DIV/0!</v>
      </c>
      <c r="P77" s="16" t="e">
        <f t="shared" si="91"/>
        <v>#VALUE!</v>
      </c>
      <c r="Q77" s="16" t="e">
        <f t="shared" si="92"/>
        <v>#DIV/0!</v>
      </c>
      <c r="R77" s="16" t="e">
        <f t="shared" si="93"/>
        <v>#DIV/0!</v>
      </c>
      <c r="S77" s="16" t="e">
        <f t="shared" si="94"/>
        <v>#DIV/0!</v>
      </c>
      <c r="T77" s="16" t="e">
        <f t="shared" si="95"/>
        <v>#DIV/0!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#DIV/0!</v>
      </c>
      <c r="M78" s="16" t="e">
        <f t="shared" si="90"/>
        <v>#DIV/0!</v>
      </c>
      <c r="N78" s="16" t="e">
        <f t="shared" si="97"/>
        <v>#DIV/0!</v>
      </c>
      <c r="O78" s="16" t="e">
        <f t="shared" si="98"/>
        <v>#DIV/0!</v>
      </c>
      <c r="P78" s="16" t="e">
        <f t="shared" si="91"/>
        <v>#VALUE!</v>
      </c>
      <c r="Q78" s="16" t="e">
        <f t="shared" si="92"/>
        <v>#DIV/0!</v>
      </c>
      <c r="R78" s="16" t="e">
        <f t="shared" si="93"/>
        <v>#DIV/0!</v>
      </c>
      <c r="S78" s="16" t="e">
        <f t="shared" si="94"/>
        <v>#DIV/0!</v>
      </c>
      <c r="T78" s="16" t="e">
        <f t="shared" si="95"/>
        <v>#DIV/0!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#DIV/0!</v>
      </c>
      <c r="M79" s="16" t="e">
        <f t="shared" si="90"/>
        <v>#DIV/0!</v>
      </c>
      <c r="N79" s="16" t="e">
        <f t="shared" si="97"/>
        <v>#DIV/0!</v>
      </c>
      <c r="O79" s="16" t="e">
        <f t="shared" si="98"/>
        <v>#DIV/0!</v>
      </c>
      <c r="P79" s="16" t="e">
        <f t="shared" si="91"/>
        <v>#VALUE!</v>
      </c>
      <c r="Q79" s="16" t="e">
        <f t="shared" si="92"/>
        <v>#DIV/0!</v>
      </c>
      <c r="R79" s="16" t="e">
        <f t="shared" si="93"/>
        <v>#DIV/0!</v>
      </c>
      <c r="S79" s="16" t="e">
        <f t="shared" si="94"/>
        <v>#DIV/0!</v>
      </c>
      <c r="T79" s="16" t="e">
        <f t="shared" si="95"/>
        <v>#DIV/0!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#DIV/0!</v>
      </c>
      <c r="M80" s="16" t="e">
        <f t="shared" si="90"/>
        <v>#DIV/0!</v>
      </c>
      <c r="N80" s="16" t="e">
        <f t="shared" si="97"/>
        <v>#DIV/0!</v>
      </c>
      <c r="O80" s="16" t="e">
        <f t="shared" si="98"/>
        <v>#DIV/0!</v>
      </c>
      <c r="P80" s="16" t="e">
        <f t="shared" si="91"/>
        <v>#VALUE!</v>
      </c>
      <c r="Q80" s="16" t="e">
        <f t="shared" si="92"/>
        <v>#DIV/0!</v>
      </c>
      <c r="R80" s="16" t="e">
        <f t="shared" si="93"/>
        <v>#DIV/0!</v>
      </c>
      <c r="S80" s="16" t="e">
        <f t="shared" si="94"/>
        <v>#DIV/0!</v>
      </c>
      <c r="T80" s="16" t="e">
        <f t="shared" si="95"/>
        <v>#DIV/0!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#DIV/0!</v>
      </c>
      <c r="M81" s="16" t="e">
        <f t="shared" si="90"/>
        <v>#DIV/0!</v>
      </c>
      <c r="N81" s="16" t="e">
        <f t="shared" si="97"/>
        <v>#DIV/0!</v>
      </c>
      <c r="O81" s="16" t="e">
        <f t="shared" si="98"/>
        <v>#DIV/0!</v>
      </c>
      <c r="P81" s="16" t="e">
        <f t="shared" si="91"/>
        <v>#VALUE!</v>
      </c>
      <c r="Q81" s="16" t="e">
        <f t="shared" si="92"/>
        <v>#DIV/0!</v>
      </c>
      <c r="R81" s="16" t="e">
        <f t="shared" si="93"/>
        <v>#DIV/0!</v>
      </c>
      <c r="S81" s="16" t="e">
        <f t="shared" si="94"/>
        <v>#DIV/0!</v>
      </c>
      <c r="T81" s="16" t="e">
        <f t="shared" si="95"/>
        <v>#DIV/0!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#DIV/0!</v>
      </c>
      <c r="M82" s="16" t="e">
        <f t="shared" si="90"/>
        <v>#DIV/0!</v>
      </c>
      <c r="N82" s="16" t="e">
        <f t="shared" si="97"/>
        <v>#DIV/0!</v>
      </c>
      <c r="O82" s="16" t="e">
        <f t="shared" si="98"/>
        <v>#DIV/0!</v>
      </c>
      <c r="P82" s="16" t="e">
        <f t="shared" si="91"/>
        <v>#VALUE!</v>
      </c>
      <c r="Q82" s="16" t="e">
        <f t="shared" si="92"/>
        <v>#DIV/0!</v>
      </c>
      <c r="R82" s="16" t="e">
        <f t="shared" si="93"/>
        <v>#DIV/0!</v>
      </c>
      <c r="S82" s="16" t="e">
        <f t="shared" si="94"/>
        <v>#DIV/0!</v>
      </c>
      <c r="T82" s="16" t="e">
        <f t="shared" si="95"/>
        <v>#DIV/0!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#DIV/0!</v>
      </c>
      <c r="M83" s="16" t="e">
        <f t="shared" si="90"/>
        <v>#DIV/0!</v>
      </c>
      <c r="N83" s="16" t="e">
        <f t="shared" si="97"/>
        <v>#DIV/0!</v>
      </c>
      <c r="O83" s="16" t="e">
        <f t="shared" si="98"/>
        <v>#DIV/0!</v>
      </c>
      <c r="P83" s="16" t="e">
        <f t="shared" si="91"/>
        <v>#VALUE!</v>
      </c>
      <c r="Q83" s="16" t="e">
        <f t="shared" si="92"/>
        <v>#DIV/0!</v>
      </c>
      <c r="R83" s="16" t="e">
        <f t="shared" si="93"/>
        <v>#DIV/0!</v>
      </c>
      <c r="S83" s="16" t="e">
        <f t="shared" si="94"/>
        <v>#DIV/0!</v>
      </c>
      <c r="T83" s="16" t="e">
        <f t="shared" si="95"/>
        <v>#DIV/0!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#DIV/0!</v>
      </c>
      <c r="M84" s="16" t="e">
        <f t="shared" si="90"/>
        <v>#DIV/0!</v>
      </c>
      <c r="N84" s="16" t="e">
        <f t="shared" si="97"/>
        <v>#DIV/0!</v>
      </c>
      <c r="O84" s="16" t="e">
        <f t="shared" si="98"/>
        <v>#DIV/0!</v>
      </c>
      <c r="P84" s="16" t="e">
        <f t="shared" si="91"/>
        <v>#VALUE!</v>
      </c>
      <c r="Q84" s="16" t="e">
        <f t="shared" si="92"/>
        <v>#DIV/0!</v>
      </c>
      <c r="R84" s="16" t="e">
        <f t="shared" si="93"/>
        <v>#DIV/0!</v>
      </c>
      <c r="S84" s="16" t="e">
        <f t="shared" si="94"/>
        <v>#DIV/0!</v>
      </c>
      <c r="T84" s="16" t="e">
        <f t="shared" si="95"/>
        <v>#DIV/0!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#DIV/0!</v>
      </c>
      <c r="M85" s="16" t="e">
        <f t="shared" si="90"/>
        <v>#DIV/0!</v>
      </c>
      <c r="N85" s="16" t="e">
        <f t="shared" si="97"/>
        <v>#DIV/0!</v>
      </c>
      <c r="O85" s="16" t="e">
        <f t="shared" si="98"/>
        <v>#DIV/0!</v>
      </c>
      <c r="P85" s="16" t="e">
        <f t="shared" si="91"/>
        <v>#VALUE!</v>
      </c>
      <c r="Q85" s="16" t="e">
        <f t="shared" si="92"/>
        <v>#DIV/0!</v>
      </c>
      <c r="R85" s="16" t="e">
        <f t="shared" si="93"/>
        <v>#DIV/0!</v>
      </c>
      <c r="S85" s="16" t="e">
        <f t="shared" si="94"/>
        <v>#DIV/0!</v>
      </c>
      <c r="T85" s="16" t="e">
        <f t="shared" si="95"/>
        <v>#DIV/0!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#DIV/0!</v>
      </c>
      <c r="M86" s="16" t="e">
        <f t="shared" si="90"/>
        <v>#DIV/0!</v>
      </c>
      <c r="N86" s="16" t="e">
        <f t="shared" si="97"/>
        <v>#DIV/0!</v>
      </c>
      <c r="O86" s="16" t="e">
        <f t="shared" si="98"/>
        <v>#DIV/0!</v>
      </c>
      <c r="P86" s="16" t="e">
        <f t="shared" si="91"/>
        <v>#VALUE!</v>
      </c>
      <c r="Q86" s="16" t="e">
        <f t="shared" si="92"/>
        <v>#DIV/0!</v>
      </c>
      <c r="R86" s="16" t="e">
        <f t="shared" si="93"/>
        <v>#DIV/0!</v>
      </c>
      <c r="S86" s="16" t="e">
        <f t="shared" si="94"/>
        <v>#DIV/0!</v>
      </c>
      <c r="T86" s="16" t="e">
        <f t="shared" si="95"/>
        <v>#DIV/0!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#DIV/0!</v>
      </c>
      <c r="M87" s="16" t="e">
        <f t="shared" si="90"/>
        <v>#DIV/0!</v>
      </c>
      <c r="N87" s="16" t="e">
        <f t="shared" si="97"/>
        <v>#DIV/0!</v>
      </c>
      <c r="O87" s="16" t="e">
        <f t="shared" si="98"/>
        <v>#DIV/0!</v>
      </c>
      <c r="P87" s="16" t="e">
        <f t="shared" si="91"/>
        <v>#VALUE!</v>
      </c>
      <c r="Q87" s="16" t="e">
        <f t="shared" si="92"/>
        <v>#DIV/0!</v>
      </c>
      <c r="R87" s="16" t="e">
        <f t="shared" si="93"/>
        <v>#DIV/0!</v>
      </c>
      <c r="S87" s="16" t="e">
        <f t="shared" si="94"/>
        <v>#DIV/0!</v>
      </c>
      <c r="T87" s="16" t="e">
        <f t="shared" si="95"/>
        <v>#DIV/0!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#DIV/0!</v>
      </c>
      <c r="M88" s="16" t="e">
        <f t="shared" si="90"/>
        <v>#DIV/0!</v>
      </c>
      <c r="N88" s="16" t="e">
        <f t="shared" si="97"/>
        <v>#DIV/0!</v>
      </c>
      <c r="O88" s="16" t="e">
        <f t="shared" si="98"/>
        <v>#DIV/0!</v>
      </c>
      <c r="P88" s="16" t="e">
        <f t="shared" si="91"/>
        <v>#VALUE!</v>
      </c>
      <c r="Q88" s="16" t="e">
        <f t="shared" si="92"/>
        <v>#DIV/0!</v>
      </c>
      <c r="R88" s="16" t="e">
        <f t="shared" si="93"/>
        <v>#DIV/0!</v>
      </c>
      <c r="S88" s="16" t="e">
        <f t="shared" si="94"/>
        <v>#DIV/0!</v>
      </c>
      <c r="T88" s="16" t="e">
        <f t="shared" si="95"/>
        <v>#DIV/0!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#DIV/0!</v>
      </c>
      <c r="M89" s="16" t="e">
        <f t="shared" si="90"/>
        <v>#DIV/0!</v>
      </c>
      <c r="N89" s="16" t="e">
        <f t="shared" si="97"/>
        <v>#DIV/0!</v>
      </c>
      <c r="O89" s="16" t="e">
        <f t="shared" si="98"/>
        <v>#DIV/0!</v>
      </c>
      <c r="P89" s="16" t="e">
        <f t="shared" si="91"/>
        <v>#VALUE!</v>
      </c>
      <c r="Q89" s="16" t="e">
        <f t="shared" si="92"/>
        <v>#DIV/0!</v>
      </c>
      <c r="R89" s="16" t="e">
        <f t="shared" si="93"/>
        <v>#DIV/0!</v>
      </c>
      <c r="S89" s="16" t="e">
        <f t="shared" si="94"/>
        <v>#DIV/0!</v>
      </c>
      <c r="T89" s="16" t="e">
        <f t="shared" si="95"/>
        <v>#DIV/0!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#DIV/0!</v>
      </c>
      <c r="M90" s="16" t="e">
        <f t="shared" si="90"/>
        <v>#DIV/0!</v>
      </c>
      <c r="N90" s="16" t="e">
        <f t="shared" si="97"/>
        <v>#DIV/0!</v>
      </c>
      <c r="O90" s="16" t="e">
        <f t="shared" si="98"/>
        <v>#DIV/0!</v>
      </c>
      <c r="P90" s="16" t="e">
        <f t="shared" si="91"/>
        <v>#VALUE!</v>
      </c>
      <c r="Q90" s="16" t="e">
        <f t="shared" si="92"/>
        <v>#DIV/0!</v>
      </c>
      <c r="R90" s="16" t="e">
        <f t="shared" si="93"/>
        <v>#DIV/0!</v>
      </c>
      <c r="S90" s="16" t="e">
        <f t="shared" si="94"/>
        <v>#DIV/0!</v>
      </c>
      <c r="T90" s="16" t="e">
        <f t="shared" si="95"/>
        <v>#DIV/0!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#DIV/0!</v>
      </c>
      <c r="M91" s="16" t="e">
        <f t="shared" si="90"/>
        <v>#DIV/0!</v>
      </c>
      <c r="N91" s="16" t="e">
        <f t="shared" si="97"/>
        <v>#DIV/0!</v>
      </c>
      <c r="O91" s="16" t="e">
        <f t="shared" si="98"/>
        <v>#DIV/0!</v>
      </c>
      <c r="P91" s="16" t="e">
        <f t="shared" si="91"/>
        <v>#VALUE!</v>
      </c>
      <c r="Q91" s="16" t="e">
        <f t="shared" si="92"/>
        <v>#DIV/0!</v>
      </c>
      <c r="R91" s="16" t="e">
        <f t="shared" si="93"/>
        <v>#DIV/0!</v>
      </c>
      <c r="S91" s="16" t="e">
        <f t="shared" si="94"/>
        <v>#DIV/0!</v>
      </c>
      <c r="T91" s="16" t="e">
        <f t="shared" si="95"/>
        <v>#DIV/0!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#DIV/0!</v>
      </c>
      <c r="M92" s="16" t="e">
        <f t="shared" si="90"/>
        <v>#DIV/0!</v>
      </c>
      <c r="N92" s="16" t="e">
        <f t="shared" si="97"/>
        <v>#DIV/0!</v>
      </c>
      <c r="O92" s="16" t="e">
        <f t="shared" si="98"/>
        <v>#DIV/0!</v>
      </c>
      <c r="P92" s="16" t="e">
        <f t="shared" si="91"/>
        <v>#VALUE!</v>
      </c>
      <c r="Q92" s="16" t="e">
        <f t="shared" si="92"/>
        <v>#DIV/0!</v>
      </c>
      <c r="R92" s="16" t="e">
        <f t="shared" si="93"/>
        <v>#DIV/0!</v>
      </c>
      <c r="S92" s="16" t="e">
        <f t="shared" si="94"/>
        <v>#DIV/0!</v>
      </c>
      <c r="T92" s="16" t="e">
        <f t="shared" si="95"/>
        <v>#DIV/0!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#DIV/0!</v>
      </c>
      <c r="M93" s="16" t="e">
        <f t="shared" si="90"/>
        <v>#DIV/0!</v>
      </c>
      <c r="N93" s="16" t="e">
        <f t="shared" si="97"/>
        <v>#DIV/0!</v>
      </c>
      <c r="O93" s="16" t="e">
        <f t="shared" si="98"/>
        <v>#DIV/0!</v>
      </c>
      <c r="P93" s="16" t="e">
        <f t="shared" si="91"/>
        <v>#VALUE!</v>
      </c>
      <c r="Q93" s="16" t="e">
        <f t="shared" si="92"/>
        <v>#DIV/0!</v>
      </c>
      <c r="R93" s="16" t="e">
        <f t="shared" si="93"/>
        <v>#DIV/0!</v>
      </c>
      <c r="S93" s="16" t="e">
        <f t="shared" si="94"/>
        <v>#DIV/0!</v>
      </c>
      <c r="T93" s="16" t="e">
        <f t="shared" si="95"/>
        <v>#DIV/0!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#DIV/0!</v>
      </c>
      <c r="M94" s="16" t="e">
        <f t="shared" si="90"/>
        <v>#DIV/0!</v>
      </c>
      <c r="N94" s="16" t="e">
        <f t="shared" si="97"/>
        <v>#DIV/0!</v>
      </c>
      <c r="O94" s="16" t="e">
        <f t="shared" si="98"/>
        <v>#DIV/0!</v>
      </c>
      <c r="P94" s="16" t="e">
        <f t="shared" si="91"/>
        <v>#VALUE!</v>
      </c>
      <c r="Q94" s="16" t="e">
        <f t="shared" si="92"/>
        <v>#DIV/0!</v>
      </c>
      <c r="R94" s="16" t="e">
        <f t="shared" si="93"/>
        <v>#DIV/0!</v>
      </c>
      <c r="S94" s="16" t="e">
        <f t="shared" si="94"/>
        <v>#DIV/0!</v>
      </c>
      <c r="T94" s="16" t="e">
        <f t="shared" si="95"/>
        <v>#DIV/0!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#DIV/0!</v>
      </c>
      <c r="M95" s="16" t="e">
        <f t="shared" si="90"/>
        <v>#DIV/0!</v>
      </c>
      <c r="N95" s="16" t="e">
        <f t="shared" si="97"/>
        <v>#DIV/0!</v>
      </c>
      <c r="O95" s="16" t="e">
        <f t="shared" si="98"/>
        <v>#DIV/0!</v>
      </c>
      <c r="P95" s="16" t="e">
        <f t="shared" si="91"/>
        <v>#VALUE!</v>
      </c>
      <c r="Q95" s="16" t="e">
        <f t="shared" si="92"/>
        <v>#DIV/0!</v>
      </c>
      <c r="R95" s="16" t="e">
        <f t="shared" si="93"/>
        <v>#DIV/0!</v>
      </c>
      <c r="S95" s="16" t="e">
        <f t="shared" si="94"/>
        <v>#DIV/0!</v>
      </c>
      <c r="T95" s="16" t="e">
        <f t="shared" si="95"/>
        <v>#DIV/0!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#DIV/0!</v>
      </c>
      <c r="M96" s="16" t="e">
        <f t="shared" si="90"/>
        <v>#DIV/0!</v>
      </c>
      <c r="N96" s="16" t="e">
        <f t="shared" si="97"/>
        <v>#DIV/0!</v>
      </c>
      <c r="O96" s="16" t="e">
        <f t="shared" si="98"/>
        <v>#DIV/0!</v>
      </c>
      <c r="P96" s="16" t="e">
        <f t="shared" si="91"/>
        <v>#VALUE!</v>
      </c>
      <c r="Q96" s="16" t="e">
        <f t="shared" si="92"/>
        <v>#DIV/0!</v>
      </c>
      <c r="R96" s="16" t="e">
        <f t="shared" si="93"/>
        <v>#DIV/0!</v>
      </c>
      <c r="S96" s="16" t="e">
        <f t="shared" si="94"/>
        <v>#DIV/0!</v>
      </c>
      <c r="T96" s="16" t="e">
        <f t="shared" si="95"/>
        <v>#DIV/0!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#DIV/0!</v>
      </c>
      <c r="M97" s="16" t="e">
        <f t="shared" si="90"/>
        <v>#DIV/0!</v>
      </c>
      <c r="N97" s="16" t="e">
        <f t="shared" si="97"/>
        <v>#DIV/0!</v>
      </c>
      <c r="O97" s="16" t="e">
        <f t="shared" si="98"/>
        <v>#DIV/0!</v>
      </c>
      <c r="P97" s="16" t="e">
        <f t="shared" si="91"/>
        <v>#VALUE!</v>
      </c>
      <c r="Q97" s="16" t="e">
        <f t="shared" si="92"/>
        <v>#DIV/0!</v>
      </c>
      <c r="R97" s="16" t="e">
        <f t="shared" si="93"/>
        <v>#DIV/0!</v>
      </c>
      <c r="S97" s="16" t="e">
        <f t="shared" si="94"/>
        <v>#DIV/0!</v>
      </c>
      <c r="T97" s="16" t="e">
        <f t="shared" si="95"/>
        <v>#DIV/0!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#DIV/0!</v>
      </c>
      <c r="M98" s="16" t="e">
        <f t="shared" si="90"/>
        <v>#DIV/0!</v>
      </c>
      <c r="N98" s="16" t="e">
        <f t="shared" si="97"/>
        <v>#DIV/0!</v>
      </c>
      <c r="O98" s="16" t="e">
        <f t="shared" si="98"/>
        <v>#DIV/0!</v>
      </c>
      <c r="P98" s="16" t="e">
        <f t="shared" si="91"/>
        <v>#VALUE!</v>
      </c>
      <c r="Q98" s="16" t="e">
        <f t="shared" si="92"/>
        <v>#DIV/0!</v>
      </c>
      <c r="R98" s="16" t="e">
        <f t="shared" si="93"/>
        <v>#DIV/0!</v>
      </c>
      <c r="S98" s="16" t="e">
        <f t="shared" si="94"/>
        <v>#DIV/0!</v>
      </c>
      <c r="T98" s="16" t="e">
        <f t="shared" si="95"/>
        <v>#DIV/0!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#DIV/0!</v>
      </c>
      <c r="M99" s="16" t="e">
        <f t="shared" si="90"/>
        <v>#DIV/0!</v>
      </c>
      <c r="N99" s="16" t="e">
        <f t="shared" si="97"/>
        <v>#DIV/0!</v>
      </c>
      <c r="O99" s="16" t="e">
        <f t="shared" si="98"/>
        <v>#DIV/0!</v>
      </c>
      <c r="P99" s="16" t="e">
        <f t="shared" si="91"/>
        <v>#VALUE!</v>
      </c>
      <c r="Q99" s="16" t="e">
        <f t="shared" si="92"/>
        <v>#DIV/0!</v>
      </c>
      <c r="R99" s="16" t="e">
        <f t="shared" si="93"/>
        <v>#DIV/0!</v>
      </c>
      <c r="S99" s="16" t="e">
        <f t="shared" si="94"/>
        <v>#DIV/0!</v>
      </c>
      <c r="T99" s="16" t="e">
        <f t="shared" si="95"/>
        <v>#DIV/0!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#DIV/0!</v>
      </c>
      <c r="M100" s="16" t="e">
        <f t="shared" si="90"/>
        <v>#DIV/0!</v>
      </c>
      <c r="N100" s="16" t="e">
        <f t="shared" si="97"/>
        <v>#DIV/0!</v>
      </c>
      <c r="O100" s="16" t="e">
        <f t="shared" si="98"/>
        <v>#DIV/0!</v>
      </c>
      <c r="P100" s="16" t="e">
        <f t="shared" si="91"/>
        <v>#VALUE!</v>
      </c>
      <c r="Q100" s="16" t="e">
        <f t="shared" si="92"/>
        <v>#DIV/0!</v>
      </c>
      <c r="R100" s="16" t="e">
        <f t="shared" si="93"/>
        <v>#DIV/0!</v>
      </c>
      <c r="S100" s="16" t="e">
        <f t="shared" si="94"/>
        <v>#DIV/0!</v>
      </c>
      <c r="T100" s="16" t="e">
        <f t="shared" si="95"/>
        <v>#DIV/0!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2014-12-16T05:38:50Z</dcterms:modified>
</cp:coreProperties>
</file>