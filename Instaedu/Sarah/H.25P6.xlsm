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<sst xmlns="http://schemas.openxmlformats.org/spreadsheetml/2006/main" count="24" uniqueCount="22">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</sst>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1.0465024298003143</c:v>
                </c:pt>
                <c:pt idx="3">
                  <c:v>1.0744852425406928</c:v>
                </c:pt>
                <c:pt idx="4">
                  <c:v>1.1066583329159931</c:v>
                </c:pt>
                <c:pt idx="5">
                  <c:v>1.1443051638638453</c:v>
                </c:pt>
                <c:pt idx="6">
                  <c:v>1.1893682645720052</c:v>
                </c:pt>
                <c:pt idx="7">
                  <c:v>1.2253858389672236</c:v>
                </c:pt>
                <c:pt idx="8">
                  <c:v>1.2345246059585528</c:v>
                </c:pt>
                <c:pt idx="9">
                  <c:v>1.1878815779793506</c:v>
                </c:pt>
                <c:pt idx="10">
                  <c:v>1.1086640111016965</c:v>
                </c:pt>
                <c:pt idx="11">
                  <c:v>1.0989270213789808</c:v>
                </c:pt>
                <c:pt idx="12">
                  <c:v>1.1226594435765131</c:v>
                </c:pt>
                <c:pt idx="13">
                  <c:v>1.1662670286134127</c:v>
                </c:pt>
                <c:pt idx="14">
                  <c:v>1.2412271167894224</c:v>
                </c:pt>
                <c:pt idx="15">
                  <c:v>1.3363854334524676</c:v>
                </c:pt>
                <c:pt idx="16">
                  <c:v>1.4330555196903194</c:v>
                </c:pt>
                <c:pt idx="17">
                  <c:v>1.4551868780085169</c:v>
                </c:pt>
                <c:pt idx="18">
                  <c:v>1.5068168462228264</c:v>
                </c:pt>
                <c:pt idx="19">
                  <c:v>1.5278715814800812</c:v>
                </c:pt>
                <c:pt idx="20">
                  <c:v>1.5070442616040998</c:v>
                </c:pt>
                <c:pt idx="21">
                  <c:v>1.4717873403632542</c:v>
                </c:pt>
                <c:pt idx="22">
                  <c:v>1.4845659771238622</c:v>
                </c:pt>
                <c:pt idx="23">
                  <c:v>1.4370193453509863</c:v>
                </c:pt>
                <c:pt idx="24">
                  <c:v>1.4550830686064991</c:v>
                </c:pt>
                <c:pt idx="25">
                  <c:v>1.5011150265535722</c:v>
                </c:pt>
                <c:pt idx="26">
                  <c:v>1.6047406193349234</c:v>
                </c:pt>
                <c:pt idx="27">
                  <c:v>1.7409226794341219</c:v>
                </c:pt>
                <c:pt idx="28">
                  <c:v>1.9793721276322642</c:v>
                </c:pt>
                <c:pt idx="29">
                  <c:v>2.1323231062485339</c:v>
                </c:pt>
                <c:pt idx="30">
                  <c:v>2.1168064445935304</c:v>
                </c:pt>
                <c:pt idx="31">
                  <c:v>2.0567445345511106</c:v>
                </c:pt>
                <c:pt idx="32">
                  <c:v>2.0804916193975322</c:v>
                </c:pt>
                <c:pt idx="33">
                  <c:v>2.2095493859148605</c:v>
                </c:pt>
                <c:pt idx="34">
                  <c:v>2.5881545869725886</c:v>
                </c:pt>
                <c:pt idx="35">
                  <c:v>3.407534800513798</c:v>
                </c:pt>
                <c:pt idx="36">
                  <c:v>-2.870612439863355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1.000240601472453</c:v>
                </c:pt>
                <c:pt idx="2">
                  <c:v>1.000292650326871</c:v>
                </c:pt>
                <c:pt idx="3">
                  <c:v>1.0003630047541439</c:v>
                </c:pt>
                <c:pt idx="4">
                  <c:v>1.0004620607848533</c:v>
                </c:pt>
                <c:pt idx="5">
                  <c:v>1.0006091233806547</c:v>
                </c:pt>
                <c:pt idx="6">
                  <c:v>1.0008438545062273</c:v>
                </c:pt>
                <c:pt idx="7">
                  <c:v>1.0012065359118727</c:v>
                </c:pt>
                <c:pt idx="8">
                  <c:v>1.002117543819542</c:v>
                </c:pt>
                <c:pt idx="9">
                  <c:v>1.000662732813014</c:v>
                </c:pt>
                <c:pt idx="10">
                  <c:v>1.000463565977092</c:v>
                </c:pt>
                <c:pt idx="11">
                  <c:v>1.0010302256292196</c:v>
                </c:pt>
                <c:pt idx="12">
                  <c:v>1.0003691967693022</c:v>
                </c:pt>
                <c:pt idx="13">
                  <c:v>1.0007747382233723</c:v>
                </c:pt>
                <c:pt idx="14">
                  <c:v>1.0012470270581162</c:v>
                </c:pt>
                <c:pt idx="15">
                  <c:v>1.0025614690047193</c:v>
                </c:pt>
                <c:pt idx="16">
                  <c:v>1.0040535236694308</c:v>
                </c:pt>
                <c:pt idx="17">
                  <c:v>1.0020331094902231</c:v>
                </c:pt>
                <c:pt idx="18">
                  <c:v>1.0049590014710712</c:v>
                </c:pt>
                <c:pt idx="19">
                  <c:v>1.0038330382488019</c:v>
                </c:pt>
                <c:pt idx="20">
                  <c:v>1.002458441830228</c:v>
                </c:pt>
                <c:pt idx="21">
                  <c:v>1.0028572275256089</c:v>
                </c:pt>
                <c:pt idx="22">
                  <c:v>1</c:v>
                </c:pt>
                <c:pt idx="23">
                  <c:v>1.0019881478017567</c:v>
                </c:pt>
                <c:pt idx="24">
                  <c:v>1.0047766929904542</c:v>
                </c:pt>
                <c:pt idx="25">
                  <c:v>1.0038190348288938</c:v>
                </c:pt>
                <c:pt idx="26">
                  <c:v>1.0042018906299874</c:v>
                </c:pt>
                <c:pt idx="27">
                  <c:v>1.0160924536573199</c:v>
                </c:pt>
                <c:pt idx="28">
                  <c:v>1.1000603937000986</c:v>
                </c:pt>
                <c:pt idx="29">
                  <c:v>1.0477747277817184</c:v>
                </c:pt>
                <c:pt idx="30">
                  <c:v>1.0225142884941976</c:v>
                </c:pt>
                <c:pt idx="31">
                  <c:v>1.0115459574329704</c:v>
                </c:pt>
                <c:pt idx="32">
                  <c:v>1.017245109301917</c:v>
                </c:pt>
                <c:pt idx="33">
                  <c:v>1.0276714226563328</c:v>
                </c:pt>
                <c:pt idx="34">
                  <c:v>1.1200655374238635</c:v>
                </c:pt>
                <c:pt idx="35">
                  <c:v>-0.86294295685708289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0.25</c:v>
                </c:pt>
                <c:pt idx="1">
                  <c:v>0.25551657444626197</c:v>
                </c:pt>
                <c:pt idx="2">
                  <c:v>0.26170217226961667</c:v>
                </c:pt>
                <c:pt idx="3">
                  <c:v>0.26871882144799814</c:v>
                </c:pt>
                <c:pt idx="4">
                  <c:v>0.27679241908346619</c:v>
                </c:pt>
                <c:pt idx="5">
                  <c:v>0.28625054672343964</c:v>
                </c:pt>
                <c:pt idx="6">
                  <c:v>0.29759297958540698</c:v>
                </c:pt>
                <c:pt idx="7">
                  <c:v>0.30671607774695947</c:v>
                </c:pt>
                <c:pt idx="8">
                  <c:v>0.30928469147699322</c:v>
                </c:pt>
                <c:pt idx="9">
                  <c:v>0.29716720651976308</c:v>
                </c:pt>
                <c:pt idx="10">
                  <c:v>0.2772944875043174</c:v>
                </c:pt>
                <c:pt idx="11">
                  <c:v>0.27501479104026183</c:v>
                </c:pt>
                <c:pt idx="12">
                  <c:v>0.28076848145402705</c:v>
                </c:pt>
                <c:pt idx="13">
                  <c:v>0.29179264506478458</c:v>
                </c:pt>
                <c:pt idx="14">
                  <c:v>0.31069374014733159</c:v>
                </c:pt>
                <c:pt idx="15">
                  <c:v>0.33495213582965361</c:v>
                </c:pt>
                <c:pt idx="16">
                  <c:v>0.35971611103974815</c:v>
                </c:pt>
                <c:pt idx="17">
                  <c:v>0.36453635806506102</c:v>
                </c:pt>
                <c:pt idx="18">
                  <c:v>0.37619999999999998</c:v>
                </c:pt>
                <c:pt idx="19">
                  <c:v>0.36300000000000004</c:v>
                </c:pt>
                <c:pt idx="20">
                  <c:v>0.37768731056420812</c:v>
                </c:pt>
                <c:pt idx="21">
                  <c:v>0.3689981429159957</c:v>
                </c:pt>
                <c:pt idx="22">
                  <c:v>0.37114149428096554</c:v>
                </c:pt>
                <c:pt idx="23">
                  <c:v>0.35996908805088196</c:v>
                </c:pt>
                <c:pt idx="24">
                  <c:v>0.36550838842521011</c:v>
                </c:pt>
                <c:pt idx="25">
                  <c:v>0.37671195928053902</c:v>
                </c:pt>
                <c:pt idx="26">
                  <c:v>0.32273999999999992</c:v>
                </c:pt>
                <c:pt idx="27">
                  <c:v>0.23694000000000001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0.20393999999999982</c:v>
                </c:pt>
                <c:pt idx="31">
                  <c:v>0.25014000000000003</c:v>
                </c:pt>
                <c:pt idx="32">
                  <c:v>0.25014000000000003</c:v>
                </c:pt>
                <c:pt idx="33">
                  <c:v>0.21053999999999998</c:v>
                </c:pt>
                <c:pt idx="34">
                  <c:v>0.12474000000000005</c:v>
                </c:pt>
                <c:pt idx="35">
                  <c:v>-0.73512703908719668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9.1911764705882346E-2</c:v>
                </c:pt>
                <c:pt idx="1">
                  <c:v>0.10241145268387253</c:v>
                </c:pt>
                <c:pt idx="2">
                  <c:v>0.1152873005593025</c:v>
                </c:pt>
                <c:pt idx="3">
                  <c:v>0.13140284667383773</c:v>
                </c:pt>
                <c:pt idx="4">
                  <c:v>0.15208374674915726</c:v>
                </c:pt>
                <c:pt idx="5">
                  <c:v>0.17946742741281482</c:v>
                </c:pt>
                <c:pt idx="6">
                  <c:v>0.21722115298204889</c:v>
                </c:pt>
                <c:pt idx="7">
                  <c:v>0.25140662110406514</c:v>
                </c:pt>
                <c:pt idx="8">
                  <c:v>0.25990310208150691</c:v>
                </c:pt>
                <c:pt idx="9">
                  <c:v>0.21226229037125935</c:v>
                </c:pt>
                <c:pt idx="10">
                  <c:v>0.14988891216449587</c:v>
                </c:pt>
                <c:pt idx="11">
                  <c:v>0.14323687033346971</c:v>
                </c:pt>
                <c:pt idx="12">
                  <c:v>0.15862626070848987</c:v>
                </c:pt>
                <c:pt idx="13">
                  <c:v>0.19171658677055495</c:v>
                </c:pt>
                <c:pt idx="14">
                  <c:v>0.26108717659439629</c:v>
                </c:pt>
                <c:pt idx="15">
                  <c:v>0.37635071441534113</c:v>
                </c:pt>
                <c:pt idx="16">
                  <c:v>0.52899428094080603</c:v>
                </c:pt>
                <c:pt idx="17">
                  <c:v>0.56082516625393997</c:v>
                </c:pt>
                <c:pt idx="18">
                  <c:v>0.66</c:v>
                </c:pt>
                <c:pt idx="19">
                  <c:v>0.66</c:v>
                </c:pt>
                <c:pt idx="20">
                  <c:v>0.64014798400713246</c:v>
                </c:pt>
                <c:pt idx="21">
                  <c:v>0.5633559433831995</c:v>
                </c:pt>
                <c:pt idx="22">
                  <c:v>0.57990858481400864</c:v>
                </c:pt>
                <c:pt idx="23">
                  <c:v>0.49378475727144328</c:v>
                </c:pt>
                <c:pt idx="24">
                  <c:v>0.52290184324064404</c:v>
                </c:pt>
                <c:pt idx="25">
                  <c:v>0.59890613558114314</c:v>
                </c:pt>
                <c:pt idx="26">
                  <c:v>0.66</c:v>
                </c:pt>
                <c:pt idx="27">
                  <c:v>0.66</c:v>
                </c:pt>
                <c:pt idx="28">
                  <c:v>0.66</c:v>
                </c:pt>
                <c:pt idx="29">
                  <c:v>0.66</c:v>
                </c:pt>
                <c:pt idx="30">
                  <c:v>0.66</c:v>
                </c:pt>
                <c:pt idx="31">
                  <c:v>0.66</c:v>
                </c:pt>
                <c:pt idx="32">
                  <c:v>0.66</c:v>
                </c:pt>
                <c:pt idx="33">
                  <c:v>0.66</c:v>
                </c:pt>
                <c:pt idx="34">
                  <c:v>0.66</c:v>
                </c:pt>
                <c:pt idx="35">
                  <c:v>-7.425525647345439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0.74186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7" cy="191368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0.73469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75668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0.26466</cdr:x>
      <cdr:y>0.853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271345" y="4980529"/>
          <a:ext cx="471019" cy="43092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0.53299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29791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.25</a:t>
          </a:r>
        </a:p>
        <a:p xmlns:a="http://schemas.openxmlformats.org/drawingml/2006/main">
          <a:r>
            <a:rPr lang="en-US" sz="1100" baseline="0"/>
            <a:t>Wave Period: 6s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0.04147</cdr:x>
      <cdr:y>0.62743</cdr:y>
    </cdr:from>
    <cdr:to>
      <cdr:x>0.1988</cdr:x>
      <cdr:y>0.67404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55879" y="3663461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0.19758</cdr:x>
      <cdr:y>0.45682</cdr:y>
    </cdr:from>
    <cdr:to>
      <cdr:x>0.23661</cdr:x>
      <cdr:y>0.62533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V="1">
          <a:off x="1695659" y="2667313"/>
          <a:ext cx="334945" cy="98390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0.19758</cdr:x>
      <cdr:y>0.46758</cdr:y>
    </cdr:from>
    <cdr:to>
      <cdr:x>0.26832</cdr:x>
      <cdr:y>0.62533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1695659" y="2730116"/>
          <a:ext cx="607088" cy="92109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E9" sqref="E9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33.379275267132975</v>
      </c>
      <c r="W4" s="16">
        <f t="shared" ref="W4:AQ4" si="0">9.81/(2*PI())*$E$9^2*TANH(2*PI()*$H9/V4)</f>
        <v>26.501888617057809</v>
      </c>
      <c r="X4" s="16">
        <f t="shared" si="0"/>
        <v>31.937252672817841</v>
      </c>
      <c r="Y4" s="16">
        <f t="shared" si="0"/>
        <v>27.501328117160003</v>
      </c>
      <c r="Z4" s="16">
        <f t="shared" si="0"/>
        <v>31.033421145004166</v>
      </c>
      <c r="AA4" s="16">
        <f t="shared" si="0"/>
        <v>28.162513088844044</v>
      </c>
      <c r="AB4" s="16">
        <f t="shared" si="0"/>
        <v>30.458771956673385</v>
      </c>
      <c r="AC4" s="16">
        <f t="shared" si="0"/>
        <v>28.597607676875402</v>
      </c>
      <c r="AD4" s="16">
        <f t="shared" si="0"/>
        <v>30.090385132085864</v>
      </c>
      <c r="AE4" s="16">
        <f t="shared" si="0"/>
        <v>28.882761159902458</v>
      </c>
      <c r="AF4" s="16">
        <f t="shared" si="0"/>
        <v>29.853054245896548</v>
      </c>
      <c r="AG4" s="16">
        <f t="shared" si="0"/>
        <v>29.069104622621047</v>
      </c>
      <c r="AH4" s="16">
        <f t="shared" si="0"/>
        <v>29.699689564075914</v>
      </c>
      <c r="AI4" s="16">
        <f t="shared" si="0"/>
        <v>29.190634751045312</v>
      </c>
      <c r="AJ4" s="16">
        <f t="shared" si="0"/>
        <v>29.600395529023562</v>
      </c>
      <c r="AK4" s="16">
        <f t="shared" si="0"/>
        <v>29.269788468791386</v>
      </c>
      <c r="AL4" s="16">
        <f t="shared" si="0"/>
        <v>29.536031263156779</v>
      </c>
      <c r="AM4" s="16">
        <f t="shared" si="0"/>
        <v>29.321296130482892</v>
      </c>
      <c r="AN4" s="16">
        <f t="shared" si="0"/>
        <v>29.494276959839127</v>
      </c>
      <c r="AO4" s="16">
        <f t="shared" si="0"/>
        <v>29.354794021357375</v>
      </c>
      <c r="AP4" s="16">
        <f t="shared" si="0"/>
        <v>29.467176741212853</v>
      </c>
      <c r="AQ4" s="16">
        <f t="shared" si="0"/>
        <v>29.376570918344399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0.25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6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0.90276826842340807</v>
      </c>
      <c r="J9" s="21">
        <f t="shared" ref="J9:J26" si="2">IF(B9&gt;=0,0,AQ9/$E$9)</f>
        <v>4.8960951530573995</v>
      </c>
      <c r="K9" s="16"/>
      <c r="L9" s="19">
        <f>E8</f>
        <v>0.25</v>
      </c>
      <c r="M9" s="16"/>
      <c r="N9" s="16">
        <f>E8</f>
        <v>0.25</v>
      </c>
      <c r="O9" s="16">
        <f>E8</f>
        <v>0.25</v>
      </c>
      <c r="P9" s="16"/>
      <c r="Q9" s="16"/>
      <c r="R9" s="16"/>
      <c r="S9" s="16"/>
      <c r="T9" s="16">
        <f>O9/H9</f>
        <v>9.1911764705882346E-2</v>
      </c>
      <c r="U9" s="16"/>
      <c r="V9" s="16">
        <f t="shared" ref="V9:V40" si="3">9.81/(2*PI())*$E$9^2*TANH(2*PI()*$H9/I$4)</f>
        <v>33.379275267132975</v>
      </c>
      <c r="W9" s="16">
        <f t="shared" ref="W9:AQ9" si="4">9.81/(2*PI())*$E$9^2*TANH(2*PI()*$H9/V9)</f>
        <v>26.501888617057809</v>
      </c>
      <c r="X9" s="16">
        <f t="shared" si="4"/>
        <v>31.937252672817841</v>
      </c>
      <c r="Y9" s="16">
        <f t="shared" si="4"/>
        <v>27.501328117160003</v>
      </c>
      <c r="Z9" s="16">
        <f t="shared" si="4"/>
        <v>31.033421145004166</v>
      </c>
      <c r="AA9" s="16">
        <f t="shared" si="4"/>
        <v>28.162513088844044</v>
      </c>
      <c r="AB9" s="16">
        <f t="shared" si="4"/>
        <v>30.458771956673385</v>
      </c>
      <c r="AC9" s="16">
        <f t="shared" si="4"/>
        <v>28.597607676875402</v>
      </c>
      <c r="AD9" s="16">
        <f t="shared" si="4"/>
        <v>30.090385132085864</v>
      </c>
      <c r="AE9" s="16">
        <f t="shared" si="4"/>
        <v>28.882761159902458</v>
      </c>
      <c r="AF9" s="16">
        <f t="shared" si="4"/>
        <v>29.853054245896548</v>
      </c>
      <c r="AG9" s="16">
        <f t="shared" si="4"/>
        <v>29.069104622621047</v>
      </c>
      <c r="AH9" s="16">
        <f t="shared" si="4"/>
        <v>29.699689564075914</v>
      </c>
      <c r="AI9" s="16">
        <f t="shared" si="4"/>
        <v>29.190634751045312</v>
      </c>
      <c r="AJ9" s="16">
        <f t="shared" si="4"/>
        <v>29.600395529023562</v>
      </c>
      <c r="AK9" s="16">
        <f t="shared" si="4"/>
        <v>29.269788468791386</v>
      </c>
      <c r="AL9" s="16">
        <f t="shared" si="4"/>
        <v>29.536031263156779</v>
      </c>
      <c r="AM9" s="16">
        <f t="shared" si="4"/>
        <v>29.321296130482892</v>
      </c>
      <c r="AN9" s="16">
        <f t="shared" si="4"/>
        <v>29.494276959839127</v>
      </c>
      <c r="AO9" s="16">
        <f t="shared" si="4"/>
        <v>29.354794021357375</v>
      </c>
      <c r="AP9" s="16">
        <f t="shared" si="4"/>
        <v>29.467176741212853</v>
      </c>
      <c r="AQ9" s="16">
        <f t="shared" si="4"/>
        <v>29.376570918344399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0.91042503118556861</v>
      </c>
      <c r="J10" s="21">
        <f t="shared" si="2"/>
        <v>4.7089808372506505</v>
      </c>
      <c r="K10" s="16">
        <f t="shared" ref="K10:K26" si="6">L10/L$9</f>
        <v>1.02182044628109</v>
      </c>
      <c r="L10" s="16">
        <f t="shared" ref="L10:L73" si="7">N9*(H9/H10)^0.25</f>
        <v>0.25545511157027251</v>
      </c>
      <c r="M10" s="16">
        <f t="shared" ref="M10:M41" si="8">1/(1+((64*PI()^3)/(3*9.81^2))*((S10*L9*(A10-A9))/(H10^2))*((H10^2)/($E$9^4))*(((L10/L9)^2)/(SINH(2*PI()*H10/AQ9))^3))</f>
        <v>1.000240601472453</v>
      </c>
      <c r="N10" s="16">
        <f>M10*L10</f>
        <v>0.25551657444626197</v>
      </c>
      <c r="O10" s="16">
        <f>IF(N10/H10&gt;0.66,0.66*H10,N10)</f>
        <v>0.25551657444626197</v>
      </c>
      <c r="P10" s="16">
        <f t="shared" ref="P10:P73" si="9">K10/M10</f>
        <v>1.0215746539151374</v>
      </c>
      <c r="Q10" s="16">
        <f t="shared" ref="Q10:Q41" si="10">($E$9*R10)/(2*PI())</f>
        <v>0.23669038917813312</v>
      </c>
      <c r="R10" s="16">
        <f t="shared" ref="R10:R73" si="11">(O9/2)*SQRT(9.81/H10)</f>
        <v>0.24786159593911067</v>
      </c>
      <c r="S10" s="16">
        <f t="shared" ref="S10:S73" si="12">EXP((5.213*((2.5*$I$6)/Q10)^0.195)-5.977)</f>
        <v>6.0810460806689608E-3</v>
      </c>
      <c r="T10" s="16">
        <f t="shared" ref="T10:T73" si="13">O10/H10</f>
        <v>0.10241145268387253</v>
      </c>
      <c r="U10" s="16"/>
      <c r="V10" s="16">
        <f t="shared" si="3"/>
        <v>31.252630053334954</v>
      </c>
      <c r="W10" s="16">
        <f t="shared" ref="W10:AQ10" si="14">9.81/(2*PI())*$E$9^2*TANH(2*PI()*$H10/V10)</f>
        <v>26.045289090353421</v>
      </c>
      <c r="X10" s="16">
        <f t="shared" si="14"/>
        <v>30.261773292202474</v>
      </c>
      <c r="Y10" s="16">
        <f t="shared" si="14"/>
        <v>26.764679008852848</v>
      </c>
      <c r="Z10" s="16">
        <f t="shared" si="14"/>
        <v>29.610425006579632</v>
      </c>
      <c r="AA10" s="16">
        <f t="shared" si="14"/>
        <v>27.257250487915794</v>
      </c>
      <c r="AB10" s="16">
        <f t="shared" si="14"/>
        <v>29.1782091550951</v>
      </c>
      <c r="AC10" s="16">
        <f t="shared" si="14"/>
        <v>27.59310201387423</v>
      </c>
      <c r="AD10" s="16">
        <f t="shared" si="14"/>
        <v>28.889732850542472</v>
      </c>
      <c r="AE10" s="16">
        <f t="shared" si="14"/>
        <v>27.821370066048271</v>
      </c>
      <c r="AF10" s="16">
        <f t="shared" si="14"/>
        <v>28.696483971692622</v>
      </c>
      <c r="AG10" s="16">
        <f t="shared" si="14"/>
        <v>27.976160648966964</v>
      </c>
      <c r="AH10" s="16">
        <f t="shared" si="14"/>
        <v>28.56671983282946</v>
      </c>
      <c r="AI10" s="16">
        <f t="shared" si="14"/>
        <v>28.080955448979314</v>
      </c>
      <c r="AJ10" s="16">
        <f t="shared" si="14"/>
        <v>28.479449483525322</v>
      </c>
      <c r="AK10" s="16">
        <f t="shared" si="14"/>
        <v>28.151822747410083</v>
      </c>
      <c r="AL10" s="16">
        <f t="shared" si="14"/>
        <v>28.420697291411393</v>
      </c>
      <c r="AM10" s="16">
        <f t="shared" si="14"/>
        <v>28.199709536907886</v>
      </c>
      <c r="AN10" s="16">
        <f t="shared" si="14"/>
        <v>28.381117133466653</v>
      </c>
      <c r="AO10" s="16">
        <f t="shared" si="14"/>
        <v>28.23205071132632</v>
      </c>
      <c r="AP10" s="16">
        <f t="shared" si="14"/>
        <v>28.354440640052523</v>
      </c>
      <c r="AQ10" s="16">
        <f t="shared" si="14"/>
        <v>28.253885023503905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0.91818707420692669</v>
      </c>
      <c r="J11" s="21">
        <f t="shared" si="2"/>
        <v>4.5115318446732626</v>
      </c>
      <c r="K11" s="16">
        <f t="shared" si="6"/>
        <v>1.0465024298003143</v>
      </c>
      <c r="L11" s="16">
        <f t="shared" si="7"/>
        <v>0.26162560745007857</v>
      </c>
      <c r="M11" s="16">
        <f t="shared" si="8"/>
        <v>1.000292650326871</v>
      </c>
      <c r="N11" s="16">
        <f t="shared" ref="N11:N74" si="15">M11*L11</f>
        <v>0.26170217226961667</v>
      </c>
      <c r="O11" s="16">
        <f t="shared" ref="O11:O74" si="16">IF(N11/H11&gt;0.66,0.66*H11,N11)</f>
        <v>0.26170217226961667</v>
      </c>
      <c r="P11" s="16">
        <f t="shared" si="9"/>
        <v>1.0461962601228181</v>
      </c>
      <c r="Q11" s="16">
        <f t="shared" si="10"/>
        <v>0.25361914724600648</v>
      </c>
      <c r="R11" s="16">
        <f t="shared" si="11"/>
        <v>0.26558934993258737</v>
      </c>
      <c r="S11" s="16">
        <f t="shared" si="12"/>
        <v>6.0103116117801413E-3</v>
      </c>
      <c r="T11" s="16">
        <f t="shared" si="13"/>
        <v>0.1152873005593025</v>
      </c>
      <c r="U11" s="16"/>
      <c r="V11" s="16">
        <f t="shared" si="3"/>
        <v>28.98806099264036</v>
      </c>
      <c r="W11" s="16">
        <f t="shared" ref="W11:AQ11" si="17">9.81/(2*PI())*$E$9^2*TANH(2*PI()*$H11/V11)</f>
        <v>25.620438720383252</v>
      </c>
      <c r="X11" s="16">
        <f t="shared" si="17"/>
        <v>28.414006494013709</v>
      </c>
      <c r="Y11" s="16">
        <f t="shared" si="17"/>
        <v>26.061065283783886</v>
      </c>
      <c r="Z11" s="16">
        <f t="shared" si="17"/>
        <v>28.018292555336789</v>
      </c>
      <c r="AA11" s="16">
        <f t="shared" si="17"/>
        <v>26.372847968928703</v>
      </c>
      <c r="AB11" s="16">
        <f t="shared" si="17"/>
        <v>27.74411321039269</v>
      </c>
      <c r="AC11" s="16">
        <f t="shared" si="17"/>
        <v>26.592836315090654</v>
      </c>
      <c r="AD11" s="16">
        <f t="shared" si="17"/>
        <v>27.553497822849568</v>
      </c>
      <c r="AE11" s="16">
        <f t="shared" si="17"/>
        <v>26.747726755345262</v>
      </c>
      <c r="AF11" s="16">
        <f t="shared" si="17"/>
        <v>27.420676530984558</v>
      </c>
      <c r="AG11" s="16">
        <f t="shared" si="17"/>
        <v>26.856613355217522</v>
      </c>
      <c r="AH11" s="16">
        <f t="shared" si="17"/>
        <v>27.327983414800922</v>
      </c>
      <c r="AI11" s="16">
        <f t="shared" si="17"/>
        <v>26.933073876721203</v>
      </c>
      <c r="AJ11" s="16">
        <f t="shared" si="17"/>
        <v>27.263226472568235</v>
      </c>
      <c r="AK11" s="16">
        <f t="shared" si="17"/>
        <v>26.986721691801272</v>
      </c>
      <c r="AL11" s="16">
        <f t="shared" si="17"/>
        <v>27.217953219331669</v>
      </c>
      <c r="AM11" s="16">
        <f t="shared" si="17"/>
        <v>27.024341767124238</v>
      </c>
      <c r="AN11" s="16">
        <f t="shared" si="17"/>
        <v>27.186285535569013</v>
      </c>
      <c r="AO11" s="16">
        <f t="shared" si="17"/>
        <v>27.050711911670149</v>
      </c>
      <c r="AP11" s="16">
        <f t="shared" si="17"/>
        <v>27.164126889069305</v>
      </c>
      <c r="AQ11" s="16">
        <f t="shared" si="17"/>
        <v>27.069191068039576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0.92609326429531857</v>
      </c>
      <c r="J12" s="21">
        <f t="shared" si="2"/>
        <v>4.3035587584468962</v>
      </c>
      <c r="K12" s="16">
        <f t="shared" si="6"/>
        <v>1.0744852425406928</v>
      </c>
      <c r="L12" s="16">
        <f t="shared" si="7"/>
        <v>0.26862131063517319</v>
      </c>
      <c r="M12" s="16">
        <f t="shared" si="8"/>
        <v>1.0003630047541439</v>
      </c>
      <c r="N12" s="16">
        <f t="shared" si="15"/>
        <v>0.26871882144799814</v>
      </c>
      <c r="O12" s="16">
        <f t="shared" si="16"/>
        <v>0.26871882144799814</v>
      </c>
      <c r="P12" s="16">
        <f t="shared" si="9"/>
        <v>1.0740953408255693</v>
      </c>
      <c r="Q12" s="16">
        <f t="shared" si="10"/>
        <v>0.27367590406522696</v>
      </c>
      <c r="R12" s="16">
        <f t="shared" si="11"/>
        <v>0.28659273655862066</v>
      </c>
      <c r="S12" s="16">
        <f t="shared" si="12"/>
        <v>5.934406163307088E-3</v>
      </c>
      <c r="T12" s="16">
        <f t="shared" si="13"/>
        <v>0.13140284667383773</v>
      </c>
      <c r="U12" s="16"/>
      <c r="V12" s="16">
        <f t="shared" si="3"/>
        <v>26.587584496723956</v>
      </c>
      <c r="W12" s="16">
        <f t="shared" ref="W12:AQ12" si="18">9.81/(2*PI())*$E$9^2*TANH(2*PI()*$H12/V12)</f>
        <v>25.229290900154744</v>
      </c>
      <c r="X12" s="16">
        <f t="shared" si="18"/>
        <v>26.38333434421747</v>
      </c>
      <c r="Y12" s="16">
        <f t="shared" si="18"/>
        <v>25.396929875121291</v>
      </c>
      <c r="Z12" s="16">
        <f t="shared" si="18"/>
        <v>26.235781395384389</v>
      </c>
      <c r="AA12" s="16">
        <f t="shared" si="18"/>
        <v>25.519299708253062</v>
      </c>
      <c r="AB12" s="16">
        <f t="shared" si="18"/>
        <v>26.129009402379555</v>
      </c>
      <c r="AC12" s="16">
        <f t="shared" si="18"/>
        <v>25.608518474609628</v>
      </c>
      <c r="AD12" s="16">
        <f t="shared" si="18"/>
        <v>26.051655864367408</v>
      </c>
      <c r="AE12" s="16">
        <f t="shared" si="18"/>
        <v>25.673509440704283</v>
      </c>
      <c r="AF12" s="16">
        <f t="shared" si="18"/>
        <v>25.995567936393318</v>
      </c>
      <c r="AG12" s="16">
        <f t="shared" si="18"/>
        <v>25.720820774643212</v>
      </c>
      <c r="AH12" s="16">
        <f t="shared" si="18"/>
        <v>25.954874783989993</v>
      </c>
      <c r="AI12" s="16">
        <f t="shared" si="18"/>
        <v>25.755245309403737</v>
      </c>
      <c r="AJ12" s="16">
        <f t="shared" si="18"/>
        <v>25.925338059231834</v>
      </c>
      <c r="AK12" s="16">
        <f t="shared" si="18"/>
        <v>25.780284341220245</v>
      </c>
      <c r="AL12" s="16">
        <f t="shared" si="18"/>
        <v>25.903892382914329</v>
      </c>
      <c r="AM12" s="16">
        <f t="shared" si="18"/>
        <v>25.798492028450777</v>
      </c>
      <c r="AN12" s="16">
        <f t="shared" si="18"/>
        <v>25.888317823581549</v>
      </c>
      <c r="AO12" s="16">
        <f t="shared" si="18"/>
        <v>25.811729655238221</v>
      </c>
      <c r="AP12" s="16">
        <f t="shared" si="18"/>
        <v>25.877005204252317</v>
      </c>
      <c r="AQ12" s="16">
        <f t="shared" si="18"/>
        <v>25.821352550681379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0.93420459689488866</v>
      </c>
      <c r="J13" s="21">
        <f t="shared" si="2"/>
        <v>4.0854996811037809</v>
      </c>
      <c r="K13" s="16">
        <f t="shared" si="6"/>
        <v>1.1066583329159931</v>
      </c>
      <c r="L13" s="16">
        <f t="shared" si="7"/>
        <v>0.27666458322899828</v>
      </c>
      <c r="M13" s="16">
        <f t="shared" si="8"/>
        <v>1.0004620607848533</v>
      </c>
      <c r="N13" s="16">
        <f t="shared" si="15"/>
        <v>0.27679241908346619</v>
      </c>
      <c r="O13" s="16">
        <f t="shared" si="16"/>
        <v>0.27679241908346619</v>
      </c>
      <c r="P13" s="16">
        <f t="shared" si="9"/>
        <v>1.106147225660741</v>
      </c>
      <c r="Q13" s="16">
        <f t="shared" si="10"/>
        <v>0.29787789910613993</v>
      </c>
      <c r="R13" s="16">
        <f t="shared" si="11"/>
        <v>0.31193700649953693</v>
      </c>
      <c r="S13" s="16">
        <f t="shared" si="12"/>
        <v>5.8523113062827923E-3</v>
      </c>
      <c r="T13" s="16">
        <f t="shared" si="13"/>
        <v>0.15208374674915726</v>
      </c>
      <c r="U13" s="16"/>
      <c r="V13" s="16">
        <f t="shared" si="3"/>
        <v>24.055301451762709</v>
      </c>
      <c r="W13" s="16">
        <f t="shared" ref="W13:AQ13" si="19">9.81/(2*PI())*$E$9^2*TANH(2*PI()*$H13/V13)</f>
        <v>24.873668560206241</v>
      </c>
      <c r="X13" s="16">
        <f t="shared" si="19"/>
        <v>24.161857324904616</v>
      </c>
      <c r="Y13" s="16">
        <f t="shared" si="19"/>
        <v>24.778821183542394</v>
      </c>
      <c r="Z13" s="16">
        <f t="shared" si="19"/>
        <v>24.242430156976337</v>
      </c>
      <c r="AA13" s="16">
        <f t="shared" si="19"/>
        <v>24.707540154856304</v>
      </c>
      <c r="AB13" s="16">
        <f t="shared" si="19"/>
        <v>24.303309325815221</v>
      </c>
      <c r="AC13" s="16">
        <f t="shared" si="19"/>
        <v>24.653930262425789</v>
      </c>
      <c r="AD13" s="16">
        <f t="shared" si="19"/>
        <v>24.349281520854031</v>
      </c>
      <c r="AE13" s="16">
        <f t="shared" si="19"/>
        <v>24.613588409151859</v>
      </c>
      <c r="AF13" s="16">
        <f t="shared" si="19"/>
        <v>24.383981434559878</v>
      </c>
      <c r="AG13" s="16">
        <f t="shared" si="19"/>
        <v>24.58321833268672</v>
      </c>
      <c r="AH13" s="16">
        <f t="shared" si="19"/>
        <v>24.410164139628055</v>
      </c>
      <c r="AI13" s="16">
        <f t="shared" si="19"/>
        <v>24.560348132297911</v>
      </c>
      <c r="AJ13" s="16">
        <f t="shared" si="19"/>
        <v>24.429915139028921</v>
      </c>
      <c r="AK13" s="16">
        <f t="shared" si="19"/>
        <v>24.543121731891738</v>
      </c>
      <c r="AL13" s="16">
        <f t="shared" si="19"/>
        <v>24.444811463974062</v>
      </c>
      <c r="AM13" s="16">
        <f t="shared" si="19"/>
        <v>24.530144127508226</v>
      </c>
      <c r="AN13" s="16">
        <f t="shared" si="19"/>
        <v>24.456044709999407</v>
      </c>
      <c r="AO13" s="16">
        <f t="shared" si="19"/>
        <v>24.520366101284299</v>
      </c>
      <c r="AP13" s="16">
        <f t="shared" si="19"/>
        <v>24.464514703637033</v>
      </c>
      <c r="AQ13" s="16">
        <f t="shared" si="19"/>
        <v>24.512998086622687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0.94260844335102423</v>
      </c>
      <c r="J14" s="21">
        <f t="shared" si="2"/>
        <v>3.8588579096841791</v>
      </c>
      <c r="K14" s="16">
        <f t="shared" si="6"/>
        <v>1.1443051638638453</v>
      </c>
      <c r="L14" s="16">
        <f t="shared" si="7"/>
        <v>0.28607629096596132</v>
      </c>
      <c r="M14" s="16">
        <f t="shared" si="8"/>
        <v>1.0006091233806547</v>
      </c>
      <c r="N14" s="16">
        <f t="shared" si="15"/>
        <v>0.28625054672343964</v>
      </c>
      <c r="O14" s="16">
        <f t="shared" si="16"/>
        <v>0.28625054672343964</v>
      </c>
      <c r="P14" s="16">
        <f t="shared" si="9"/>
        <v>1.1436085651484964</v>
      </c>
      <c r="Q14" s="16">
        <f t="shared" si="10"/>
        <v>0.32775531088744797</v>
      </c>
      <c r="R14" s="16">
        <f t="shared" si="11"/>
        <v>0.34322455895301512</v>
      </c>
      <c r="S14" s="16">
        <f t="shared" si="12"/>
        <v>5.7626500357879223E-3</v>
      </c>
      <c r="T14" s="16">
        <f t="shared" si="13"/>
        <v>0.17946742741281482</v>
      </c>
      <c r="U14" s="16"/>
      <c r="V14" s="16">
        <f t="shared" si="3"/>
        <v>21.397545610571608</v>
      </c>
      <c r="W14" s="16">
        <f t="shared" ref="W14:AQ14" si="20">9.81/(2*PI())*$E$9^2*TANH(2*PI()*$H14/V14)</f>
        <v>24.555248795308803</v>
      </c>
      <c r="X14" s="16">
        <f t="shared" si="20"/>
        <v>21.745532273164955</v>
      </c>
      <c r="Y14" s="16">
        <f t="shared" si="20"/>
        <v>24.213267065927678</v>
      </c>
      <c r="Z14" s="16">
        <f t="shared" si="20"/>
        <v>22.020415821842789</v>
      </c>
      <c r="AA14" s="16">
        <f t="shared" si="20"/>
        <v>23.949264339520838</v>
      </c>
      <c r="AB14" s="16">
        <f t="shared" si="20"/>
        <v>22.237111757715514</v>
      </c>
      <c r="AC14" s="16">
        <f t="shared" si="20"/>
        <v>23.744860640225866</v>
      </c>
      <c r="AD14" s="16">
        <f t="shared" si="20"/>
        <v>22.407646511146552</v>
      </c>
      <c r="AE14" s="16">
        <f t="shared" si="20"/>
        <v>23.586253062003752</v>
      </c>
      <c r="AF14" s="16">
        <f t="shared" si="20"/>
        <v>22.541665639548416</v>
      </c>
      <c r="AG14" s="16">
        <f t="shared" si="20"/>
        <v>23.462976542948709</v>
      </c>
      <c r="AH14" s="16">
        <f t="shared" si="20"/>
        <v>22.646868347855584</v>
      </c>
      <c r="AI14" s="16">
        <f t="shared" si="20"/>
        <v>23.367039715425253</v>
      </c>
      <c r="AJ14" s="16">
        <f t="shared" si="20"/>
        <v>22.729375172853203</v>
      </c>
      <c r="AK14" s="16">
        <f t="shared" si="20"/>
        <v>23.29230714900557</v>
      </c>
      <c r="AL14" s="16">
        <f t="shared" si="20"/>
        <v>22.79403514353406</v>
      </c>
      <c r="AM14" s="16">
        <f t="shared" si="20"/>
        <v>23.234048988337538</v>
      </c>
      <c r="AN14" s="16">
        <f t="shared" si="20"/>
        <v>22.844679247251445</v>
      </c>
      <c r="AO14" s="16">
        <f t="shared" si="20"/>
        <v>23.188607539899632</v>
      </c>
      <c r="AP14" s="16">
        <f t="shared" si="20"/>
        <v>22.884327362032273</v>
      </c>
      <c r="AQ14" s="16">
        <f t="shared" si="20"/>
        <v>23.153147458105074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0.9514136301308147</v>
      </c>
      <c r="J15" s="21">
        <f t="shared" si="2"/>
        <v>3.6268052096753749</v>
      </c>
      <c r="K15" s="16">
        <f t="shared" si="6"/>
        <v>1.1893682645720052</v>
      </c>
      <c r="L15" s="16">
        <f t="shared" si="7"/>
        <v>0.29734206614300129</v>
      </c>
      <c r="M15" s="16">
        <f t="shared" si="8"/>
        <v>1.0008438545062273</v>
      </c>
      <c r="N15" s="16">
        <f t="shared" si="15"/>
        <v>0.29759297958540698</v>
      </c>
      <c r="O15" s="16">
        <f t="shared" si="16"/>
        <v>0.29759297958540698</v>
      </c>
      <c r="P15" s="16">
        <f t="shared" si="9"/>
        <v>1.1883654570260489</v>
      </c>
      <c r="Q15" s="16">
        <f t="shared" si="10"/>
        <v>0.36573113292347514</v>
      </c>
      <c r="R15" s="16">
        <f t="shared" si="11"/>
        <v>0.38299274679382056</v>
      </c>
      <c r="S15" s="16">
        <f t="shared" si="12"/>
        <v>5.6634876529474808E-3</v>
      </c>
      <c r="T15" s="16">
        <f t="shared" si="13"/>
        <v>0.21722115298204889</v>
      </c>
      <c r="U15" s="16"/>
      <c r="V15" s="16">
        <f t="shared" si="3"/>
        <v>18.622969439821386</v>
      </c>
      <c r="W15" s="16">
        <f t="shared" ref="W15:AQ15" si="21">9.81/(2*PI())*$E$9^2*TANH(2*PI()*$H15/V15)</f>
        <v>24.275548713706907</v>
      </c>
      <c r="X15" s="16">
        <f t="shared" si="21"/>
        <v>19.135357876105839</v>
      </c>
      <c r="Y15" s="16">
        <f t="shared" si="21"/>
        <v>23.706628348725232</v>
      </c>
      <c r="Z15" s="16">
        <f t="shared" si="21"/>
        <v>19.556994609276352</v>
      </c>
      <c r="AA15" s="16">
        <f t="shared" si="21"/>
        <v>23.256654608243412</v>
      </c>
      <c r="AB15" s="16">
        <f t="shared" si="21"/>
        <v>19.903213853201162</v>
      </c>
      <c r="AC15" s="16">
        <f t="shared" si="21"/>
        <v>22.898858458178214</v>
      </c>
      <c r="AD15" s="16">
        <f t="shared" si="21"/>
        <v>20.186932420207604</v>
      </c>
      <c r="AE15" s="16">
        <f t="shared" si="21"/>
        <v>22.613206982299598</v>
      </c>
      <c r="AF15" s="16">
        <f t="shared" si="21"/>
        <v>20.419009474761356</v>
      </c>
      <c r="AG15" s="16">
        <f t="shared" si="21"/>
        <v>22.384447144312858</v>
      </c>
      <c r="AH15" s="16">
        <f t="shared" si="21"/>
        <v>20.608540755063284</v>
      </c>
      <c r="AI15" s="16">
        <f t="shared" si="21"/>
        <v>22.200809681808426</v>
      </c>
      <c r="AJ15" s="16">
        <f t="shared" si="21"/>
        <v>20.763112589561359</v>
      </c>
      <c r="AK15" s="16">
        <f t="shared" si="21"/>
        <v>22.053119369225623</v>
      </c>
      <c r="AL15" s="16">
        <f t="shared" si="21"/>
        <v>20.8890256951236</v>
      </c>
      <c r="AM15" s="16">
        <f t="shared" si="21"/>
        <v>21.934165742147638</v>
      </c>
      <c r="AN15" s="16">
        <f t="shared" si="21"/>
        <v>20.99149264273623</v>
      </c>
      <c r="AO15" s="16">
        <f t="shared" si="21"/>
        <v>21.838246803893359</v>
      </c>
      <c r="AP15" s="16">
        <f t="shared" si="21"/>
        <v>21.074810863835566</v>
      </c>
      <c r="AQ15" s="16">
        <f t="shared" si="21"/>
        <v>21.760831258052249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0.95755818335113152</v>
      </c>
      <c r="J16" s="21">
        <f t="shared" si="2"/>
        <v>3.4717336265390144</v>
      </c>
      <c r="K16" s="16">
        <f t="shared" si="6"/>
        <v>1.2253858389672236</v>
      </c>
      <c r="L16" s="16">
        <f t="shared" si="7"/>
        <v>0.30634645974180591</v>
      </c>
      <c r="M16" s="16">
        <f t="shared" si="8"/>
        <v>1.0012065359118727</v>
      </c>
      <c r="N16" s="16">
        <f t="shared" si="15"/>
        <v>0.30671607774695947</v>
      </c>
      <c r="O16" s="16">
        <f t="shared" si="16"/>
        <v>0.30671607774695947</v>
      </c>
      <c r="P16" s="16">
        <f t="shared" si="9"/>
        <v>1.2239091486265361</v>
      </c>
      <c r="Q16" s="16">
        <f t="shared" si="10"/>
        <v>0.40291984333596043</v>
      </c>
      <c r="R16" s="16">
        <f t="shared" si="11"/>
        <v>0.42193667326993456</v>
      </c>
      <c r="S16" s="16">
        <f t="shared" si="12"/>
        <v>5.5790208259328426E-3</v>
      </c>
      <c r="T16" s="16">
        <f t="shared" si="13"/>
        <v>0.25140662110406514</v>
      </c>
      <c r="U16" s="16"/>
      <c r="V16" s="16">
        <f t="shared" si="3"/>
        <v>16.713680212625658</v>
      </c>
      <c r="W16" s="16">
        <f t="shared" ref="W16:AQ16" si="22">9.81/(2*PI())*$E$9^2*TANH(2*PI()*$H16/V16)</f>
        <v>24.111264258256657</v>
      </c>
      <c r="X16" s="16">
        <f t="shared" si="22"/>
        <v>17.290795061664866</v>
      </c>
      <c r="Y16" s="16">
        <f t="shared" si="22"/>
        <v>23.404596875999957</v>
      </c>
      <c r="Z16" s="16">
        <f t="shared" si="22"/>
        <v>17.777824948847986</v>
      </c>
      <c r="AA16" s="16">
        <f t="shared" si="22"/>
        <v>22.837476179494288</v>
      </c>
      <c r="AB16" s="16">
        <f t="shared" si="22"/>
        <v>18.188175862571775</v>
      </c>
      <c r="AC16" s="16">
        <f t="shared" si="22"/>
        <v>22.379158692094752</v>
      </c>
      <c r="AD16" s="16">
        <f t="shared" si="22"/>
        <v>18.533317250889031</v>
      </c>
      <c r="AE16" s="16">
        <f t="shared" si="22"/>
        <v>22.006787209943074</v>
      </c>
      <c r="AF16" s="16">
        <f t="shared" si="22"/>
        <v>18.823108872376785</v>
      </c>
      <c r="AG16" s="16">
        <f t="shared" si="22"/>
        <v>21.702990804271881</v>
      </c>
      <c r="AH16" s="16">
        <f t="shared" si="22"/>
        <v>19.066030020421334</v>
      </c>
      <c r="AI16" s="16">
        <f t="shared" si="22"/>
        <v>21.454337386876123</v>
      </c>
      <c r="AJ16" s="16">
        <f t="shared" si="22"/>
        <v>19.269358482251128</v>
      </c>
      <c r="AK16" s="16">
        <f t="shared" si="22"/>
        <v>21.250297174110351</v>
      </c>
      <c r="AL16" s="16">
        <f t="shared" si="22"/>
        <v>19.439321497522954</v>
      </c>
      <c r="AM16" s="16">
        <f t="shared" si="22"/>
        <v>21.082525159716269</v>
      </c>
      <c r="AN16" s="16">
        <f t="shared" si="22"/>
        <v>19.581228761063667</v>
      </c>
      <c r="AO16" s="16">
        <f t="shared" si="22"/>
        <v>20.944350126285901</v>
      </c>
      <c r="AP16" s="16">
        <f t="shared" si="22"/>
        <v>19.699591733681409</v>
      </c>
      <c r="AQ16" s="16">
        <f t="shared" si="22"/>
        <v>20.830401759234086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0.95881550604056431</v>
      </c>
      <c r="J17" s="21">
        <f t="shared" si="2"/>
        <v>3.4409212832352272</v>
      </c>
      <c r="K17" s="16">
        <f t="shared" si="6"/>
        <v>1.2345246059585528</v>
      </c>
      <c r="L17" s="16">
        <f t="shared" si="7"/>
        <v>0.30863115148963821</v>
      </c>
      <c r="M17" s="16">
        <f t="shared" si="8"/>
        <v>1.002117543819542</v>
      </c>
      <c r="N17" s="16">
        <f t="shared" si="15"/>
        <v>0.30928469147699322</v>
      </c>
      <c r="O17" s="16">
        <f t="shared" si="16"/>
        <v>0.30928469147699322</v>
      </c>
      <c r="P17" s="16">
        <f t="shared" si="9"/>
        <v>1.2319159699102742</v>
      </c>
      <c r="Q17" s="16">
        <f t="shared" si="10"/>
        <v>0.4204738110481297</v>
      </c>
      <c r="R17" s="16">
        <f t="shared" si="11"/>
        <v>0.4403191452719023</v>
      </c>
      <c r="S17" s="16">
        <f t="shared" si="12"/>
        <v>5.542721097005654E-3</v>
      </c>
      <c r="T17" s="16">
        <f t="shared" si="13"/>
        <v>0.25990310208150691</v>
      </c>
      <c r="U17" s="16"/>
      <c r="V17" s="16">
        <f t="shared" si="3"/>
        <v>16.326500064563653</v>
      </c>
      <c r="W17" s="16">
        <f t="shared" ref="W17:AQ17" si="23">9.81/(2*PI())*$E$9^2*TANH(2*PI()*$H17/V17)</f>
        <v>24.080576314932049</v>
      </c>
      <c r="X17" s="16">
        <f t="shared" si="23"/>
        <v>16.912218587697939</v>
      </c>
      <c r="Y17" s="16">
        <f t="shared" si="23"/>
        <v>23.34780456706391</v>
      </c>
      <c r="Z17" s="16">
        <f t="shared" si="23"/>
        <v>17.408896488479229</v>
      </c>
      <c r="AA17" s="16">
        <f t="shared" si="23"/>
        <v>22.758115863245592</v>
      </c>
      <c r="AB17" s="16">
        <f t="shared" si="23"/>
        <v>17.829464071860809</v>
      </c>
      <c r="AC17" s="16">
        <f t="shared" si="23"/>
        <v>22.280089834165619</v>
      </c>
      <c r="AD17" s="16">
        <f t="shared" si="23"/>
        <v>18.184998627767406</v>
      </c>
      <c r="AE17" s="16">
        <f t="shared" si="23"/>
        <v>21.89040374836873</v>
      </c>
      <c r="AF17" s="16">
        <f t="shared" si="23"/>
        <v>18.485052733761467</v>
      </c>
      <c r="AG17" s="16">
        <f t="shared" si="23"/>
        <v>21.571346680378443</v>
      </c>
      <c r="AH17" s="16">
        <f t="shared" si="23"/>
        <v>18.737877222180241</v>
      </c>
      <c r="AI17" s="16">
        <f t="shared" si="23"/>
        <v>21.30922405221483</v>
      </c>
      <c r="AJ17" s="16">
        <f t="shared" si="23"/>
        <v>18.950589995399177</v>
      </c>
      <c r="AK17" s="16">
        <f t="shared" si="23"/>
        <v>21.09329352109626</v>
      </c>
      <c r="AL17" s="16">
        <f t="shared" si="23"/>
        <v>19.129315424513727</v>
      </c>
      <c r="AM17" s="16">
        <f t="shared" si="23"/>
        <v>20.915031302216658</v>
      </c>
      <c r="AN17" s="16">
        <f t="shared" si="23"/>
        <v>19.279305909555351</v>
      </c>
      <c r="AO17" s="16">
        <f t="shared" si="23"/>
        <v>20.767611561700132</v>
      </c>
      <c r="AP17" s="16">
        <f t="shared" si="23"/>
        <v>19.405050736555179</v>
      </c>
      <c r="AQ17" s="16">
        <f t="shared" si="23"/>
        <v>20.645527699411364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0.9502124005955731</v>
      </c>
      <c r="J18" s="21">
        <f t="shared" si="2"/>
        <v>3.6578866053699026</v>
      </c>
      <c r="K18" s="16">
        <f t="shared" si="6"/>
        <v>1.1878815779793506</v>
      </c>
      <c r="L18" s="16">
        <f t="shared" si="7"/>
        <v>0.29697039449483764</v>
      </c>
      <c r="M18" s="16">
        <f t="shared" si="8"/>
        <v>1.000662732813014</v>
      </c>
      <c r="N18" s="16">
        <f t="shared" si="15"/>
        <v>0.29716720651976308</v>
      </c>
      <c r="O18" s="16">
        <f t="shared" si="16"/>
        <v>0.29716720651976308</v>
      </c>
      <c r="P18" s="16">
        <f t="shared" si="9"/>
        <v>1.1870948512692545</v>
      </c>
      <c r="Q18" s="16">
        <f t="shared" si="10"/>
        <v>0.39090416401050898</v>
      </c>
      <c r="R18" s="16">
        <f t="shared" si="11"/>
        <v>0.40935388330435818</v>
      </c>
      <c r="S18" s="16">
        <f t="shared" si="12"/>
        <v>5.6051210807419516E-3</v>
      </c>
      <c r="T18" s="16">
        <f t="shared" si="13"/>
        <v>0.21226229037125935</v>
      </c>
      <c r="U18" s="16"/>
      <c r="V18" s="16">
        <f t="shared" si="3"/>
        <v>18.999291240919653</v>
      </c>
      <c r="W18" s="16">
        <f t="shared" ref="W18:AQ18" si="24">9.81/(2*PI())*$E$9^2*TANH(2*PI()*$H18/V18)</f>
        <v>24.310554761913529</v>
      </c>
      <c r="X18" s="16">
        <f t="shared" si="24"/>
        <v>19.494392766155965</v>
      </c>
      <c r="Y18" s="16">
        <f t="shared" si="24"/>
        <v>23.770555006978515</v>
      </c>
      <c r="Z18" s="16">
        <f t="shared" si="24"/>
        <v>19.899669252549376</v>
      </c>
      <c r="AA18" s="16">
        <f t="shared" si="24"/>
        <v>23.344765109716175</v>
      </c>
      <c r="AB18" s="16">
        <f t="shared" si="24"/>
        <v>20.230693270583682</v>
      </c>
      <c r="AC18" s="16">
        <f t="shared" si="24"/>
        <v>23.007347255608831</v>
      </c>
      <c r="AD18" s="16">
        <f t="shared" si="24"/>
        <v>20.500521807293552</v>
      </c>
      <c r="AE18" s="16">
        <f t="shared" si="24"/>
        <v>22.738947184152803</v>
      </c>
      <c r="AF18" s="16">
        <f t="shared" si="24"/>
        <v>20.720071385477969</v>
      </c>
      <c r="AG18" s="16">
        <f t="shared" si="24"/>
        <v>22.524829518732997</v>
      </c>
      <c r="AH18" s="16">
        <f t="shared" si="24"/>
        <v>20.898431229976953</v>
      </c>
      <c r="AI18" s="16">
        <f t="shared" si="24"/>
        <v>22.353634578697051</v>
      </c>
      <c r="AJ18" s="16">
        <f t="shared" si="24"/>
        <v>21.043135554058164</v>
      </c>
      <c r="AK18" s="16">
        <f t="shared" si="24"/>
        <v>22.216520390160618</v>
      </c>
      <c r="AL18" s="16">
        <f t="shared" si="24"/>
        <v>21.160403045666641</v>
      </c>
      <c r="AM18" s="16">
        <f t="shared" si="24"/>
        <v>22.106553198435716</v>
      </c>
      <c r="AN18" s="16">
        <f t="shared" si="24"/>
        <v>21.255346845010049</v>
      </c>
      <c r="AO18" s="16">
        <f t="shared" si="24"/>
        <v>22.018264025902678</v>
      </c>
      <c r="AP18" s="16">
        <f t="shared" si="24"/>
        <v>21.332156978902049</v>
      </c>
      <c r="AQ18" s="16">
        <f t="shared" si="24"/>
        <v>21.947319632219415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0.9331083647224272</v>
      </c>
      <c r="J19" s="21">
        <f t="shared" si="2"/>
        <v>4.1151169486912096</v>
      </c>
      <c r="K19" s="16">
        <f t="shared" si="6"/>
        <v>1.1086640111016965</v>
      </c>
      <c r="L19" s="16">
        <f t="shared" si="7"/>
        <v>0.27716600277542414</v>
      </c>
      <c r="M19" s="16">
        <f t="shared" si="8"/>
        <v>1.000463565977092</v>
      </c>
      <c r="N19" s="16">
        <f t="shared" si="15"/>
        <v>0.2772944875043174</v>
      </c>
      <c r="O19" s="16">
        <f t="shared" si="16"/>
        <v>0.2772944875043174</v>
      </c>
      <c r="P19" s="16">
        <f t="shared" si="9"/>
        <v>1.1081503103203281</v>
      </c>
      <c r="Q19" s="16">
        <f t="shared" si="10"/>
        <v>0.32673142554170204</v>
      </c>
      <c r="R19" s="16">
        <f t="shared" si="11"/>
        <v>0.34215234872624389</v>
      </c>
      <c r="S19" s="16">
        <f t="shared" si="12"/>
        <v>5.7655369426068111E-3</v>
      </c>
      <c r="T19" s="16">
        <f t="shared" si="13"/>
        <v>0.14988891216449587</v>
      </c>
      <c r="U19" s="16"/>
      <c r="V19" s="16">
        <f t="shared" si="3"/>
        <v>24.400350370588377</v>
      </c>
      <c r="W19" s="16">
        <f t="shared" ref="W19:AQ19" si="25">9.81/(2*PI())*$E$9^2*TANH(2*PI()*$H19/V19)</f>
        <v>24.918970425466796</v>
      </c>
      <c r="X19" s="16">
        <f t="shared" si="25"/>
        <v>24.469270128209608</v>
      </c>
      <c r="Y19" s="16">
        <f t="shared" si="25"/>
        <v>24.858340648285036</v>
      </c>
      <c r="Z19" s="16">
        <f t="shared" si="25"/>
        <v>24.521072921351745</v>
      </c>
      <c r="AA19" s="16">
        <f t="shared" si="25"/>
        <v>24.81294621946677</v>
      </c>
      <c r="AB19" s="16">
        <f t="shared" si="25"/>
        <v>24.55999033203689</v>
      </c>
      <c r="AC19" s="16">
        <f t="shared" si="25"/>
        <v>24.778942799287918</v>
      </c>
      <c r="AD19" s="16">
        <f t="shared" si="25"/>
        <v>24.589216309570492</v>
      </c>
      <c r="AE19" s="16">
        <f t="shared" si="25"/>
        <v>24.753463115488408</v>
      </c>
      <c r="AF19" s="16">
        <f t="shared" si="25"/>
        <v>24.611157944496394</v>
      </c>
      <c r="AG19" s="16">
        <f t="shared" si="25"/>
        <v>24.734365535878361</v>
      </c>
      <c r="AH19" s="16">
        <f t="shared" si="25"/>
        <v>24.627627220896191</v>
      </c>
      <c r="AI19" s="16">
        <f t="shared" si="25"/>
        <v>24.720048705034891</v>
      </c>
      <c r="AJ19" s="16">
        <f t="shared" si="25"/>
        <v>24.639986949888325</v>
      </c>
      <c r="AK19" s="16">
        <f t="shared" si="25"/>
        <v>24.709314288329573</v>
      </c>
      <c r="AL19" s="16">
        <f t="shared" si="25"/>
        <v>24.649261436531123</v>
      </c>
      <c r="AM19" s="16">
        <f t="shared" si="25"/>
        <v>24.701265006482444</v>
      </c>
      <c r="AN19" s="16">
        <f t="shared" si="25"/>
        <v>24.656220176224195</v>
      </c>
      <c r="AO19" s="16">
        <f t="shared" si="25"/>
        <v>24.695228702533075</v>
      </c>
      <c r="AP19" s="16">
        <f t="shared" si="25"/>
        <v>24.661441024600066</v>
      </c>
      <c r="AQ19" s="16">
        <f t="shared" si="25"/>
        <v>24.690701692147258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0.9305692646244057</v>
      </c>
      <c r="J20" s="21">
        <f t="shared" si="2"/>
        <v>4.1835947123792021</v>
      </c>
      <c r="K20" s="16">
        <f t="shared" si="6"/>
        <v>1.0989270213789808</v>
      </c>
      <c r="L20" s="16">
        <f t="shared" si="7"/>
        <v>0.2747317553447452</v>
      </c>
      <c r="M20" s="16">
        <f t="shared" si="8"/>
        <v>1.0010302256292196</v>
      </c>
      <c r="N20" s="16">
        <f t="shared" si="15"/>
        <v>0.27501479104026183</v>
      </c>
      <c r="O20" s="16">
        <f t="shared" si="16"/>
        <v>0.27501479104026183</v>
      </c>
      <c r="P20" s="16">
        <f t="shared" si="9"/>
        <v>1.0977960437590444</v>
      </c>
      <c r="Q20" s="16">
        <f t="shared" si="10"/>
        <v>0.29927229341032507</v>
      </c>
      <c r="R20" s="16">
        <f t="shared" si="11"/>
        <v>0.3133972128002821</v>
      </c>
      <c r="S20" s="16">
        <f t="shared" si="12"/>
        <v>5.8478590473646543E-3</v>
      </c>
      <c r="T20" s="16">
        <f t="shared" si="13"/>
        <v>0.14323687033346971</v>
      </c>
      <c r="U20" s="16"/>
      <c r="V20" s="16">
        <f t="shared" si="3"/>
        <v>25.196680511275325</v>
      </c>
      <c r="W20" s="16">
        <f t="shared" ref="W20:AQ20" si="26">9.81/(2*PI())*$E$9^2*TANH(2*PI()*$H20/V20)</f>
        <v>25.027226168505965</v>
      </c>
      <c r="X20" s="16">
        <f t="shared" si="26"/>
        <v>25.173098610867385</v>
      </c>
      <c r="Y20" s="16">
        <f t="shared" si="26"/>
        <v>25.047433854502543</v>
      </c>
      <c r="Z20" s="16">
        <f t="shared" si="26"/>
        <v>25.155621751773136</v>
      </c>
      <c r="AA20" s="16">
        <f t="shared" si="26"/>
        <v>25.06242925992472</v>
      </c>
      <c r="AB20" s="16">
        <f t="shared" si="26"/>
        <v>25.142667087205297</v>
      </c>
      <c r="AC20" s="16">
        <f t="shared" si="26"/>
        <v>25.073555130736274</v>
      </c>
      <c r="AD20" s="16">
        <f t="shared" si="26"/>
        <v>25.133063206079459</v>
      </c>
      <c r="AE20" s="16">
        <f t="shared" si="26"/>
        <v>25.081809062236488</v>
      </c>
      <c r="AF20" s="16">
        <f t="shared" si="26"/>
        <v>25.125942711551872</v>
      </c>
      <c r="AG20" s="16">
        <f t="shared" si="26"/>
        <v>25.087931879932196</v>
      </c>
      <c r="AH20" s="16">
        <f t="shared" si="26"/>
        <v>25.120663060638989</v>
      </c>
      <c r="AI20" s="16">
        <f t="shared" si="26"/>
        <v>25.092473541582553</v>
      </c>
      <c r="AJ20" s="16">
        <f t="shared" si="26"/>
        <v>25.116748133204805</v>
      </c>
      <c r="AK20" s="16">
        <f t="shared" si="26"/>
        <v>25.095842209208286</v>
      </c>
      <c r="AL20" s="16">
        <f t="shared" si="26"/>
        <v>25.113845049188679</v>
      </c>
      <c r="AM20" s="16">
        <f t="shared" si="26"/>
        <v>25.098340751233152</v>
      </c>
      <c r="AN20" s="16">
        <f t="shared" si="26"/>
        <v>25.111692225949426</v>
      </c>
      <c r="AO20" s="16">
        <f t="shared" si="26"/>
        <v>25.100193873627084</v>
      </c>
      <c r="AP20" s="16">
        <f t="shared" si="26"/>
        <v>25.11009573416348</v>
      </c>
      <c r="AQ20" s="16">
        <f t="shared" si="26"/>
        <v>25.101568274275213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0.93604324722175281</v>
      </c>
      <c r="J21" s="21">
        <f t="shared" si="2"/>
        <v>4.0357958170408521</v>
      </c>
      <c r="K21" s="16">
        <f t="shared" si="6"/>
        <v>1.1226594435765131</v>
      </c>
      <c r="L21" s="16">
        <f t="shared" si="7"/>
        <v>0.28066486089412829</v>
      </c>
      <c r="M21" s="16">
        <f t="shared" si="8"/>
        <v>1.0003691967693022</v>
      </c>
      <c r="N21" s="16">
        <f t="shared" si="15"/>
        <v>0.28076848145402705</v>
      </c>
      <c r="O21" s="16">
        <f t="shared" si="16"/>
        <v>0.28076848145402705</v>
      </c>
      <c r="P21" s="16">
        <f t="shared" si="9"/>
        <v>1.1222451143059462</v>
      </c>
      <c r="Q21" s="16">
        <f t="shared" si="10"/>
        <v>0.30913295751596742</v>
      </c>
      <c r="R21" s="16">
        <f t="shared" si="11"/>
        <v>0.32372327610488294</v>
      </c>
      <c r="S21" s="16">
        <f t="shared" si="12"/>
        <v>5.8171581315184066E-3</v>
      </c>
      <c r="T21" s="16">
        <f t="shared" si="13"/>
        <v>0.15862626070848987</v>
      </c>
      <c r="U21" s="16"/>
      <c r="V21" s="16">
        <f t="shared" si="3"/>
        <v>23.475264347534623</v>
      </c>
      <c r="W21" s="16">
        <f t="shared" ref="W21:AQ21" si="27">9.81/(2*PI())*$E$9^2*TANH(2*PI()*$H21/V21)</f>
        <v>24.799637563697495</v>
      </c>
      <c r="X21" s="16">
        <f t="shared" si="27"/>
        <v>23.641786823635414</v>
      </c>
      <c r="Y21" s="16">
        <f t="shared" si="27"/>
        <v>24.648373082986037</v>
      </c>
      <c r="Z21" s="16">
        <f t="shared" si="27"/>
        <v>23.768957382754692</v>
      </c>
      <c r="AA21" s="16">
        <f t="shared" si="27"/>
        <v>24.533988798806568</v>
      </c>
      <c r="AB21" s="16">
        <f t="shared" si="27"/>
        <v>23.865964080374429</v>
      </c>
      <c r="AC21" s="16">
        <f t="shared" si="27"/>
        <v>24.447388236722364</v>
      </c>
      <c r="AD21" s="16">
        <f t="shared" si="27"/>
        <v>23.939895328798055</v>
      </c>
      <c r="AE21" s="16">
        <f t="shared" si="27"/>
        <v>24.381763714441906</v>
      </c>
      <c r="AF21" s="16">
        <f t="shared" si="27"/>
        <v>23.996201129308314</v>
      </c>
      <c r="AG21" s="16">
        <f t="shared" si="27"/>
        <v>24.33200097383892</v>
      </c>
      <c r="AH21" s="16">
        <f t="shared" si="27"/>
        <v>24.039060521269501</v>
      </c>
      <c r="AI21" s="16">
        <f t="shared" si="27"/>
        <v>24.294247036561416</v>
      </c>
      <c r="AJ21" s="16">
        <f t="shared" si="27"/>
        <v>24.07167124803685</v>
      </c>
      <c r="AK21" s="16">
        <f t="shared" si="27"/>
        <v>24.26559300341177</v>
      </c>
      <c r="AL21" s="16">
        <f t="shared" si="27"/>
        <v>24.096476193402879</v>
      </c>
      <c r="AM21" s="16">
        <f t="shared" si="27"/>
        <v>24.243839249757862</v>
      </c>
      <c r="AN21" s="16">
        <f t="shared" si="27"/>
        <v>24.115339228416126</v>
      </c>
      <c r="AO21" s="16">
        <f t="shared" si="27"/>
        <v>24.227320502998616</v>
      </c>
      <c r="AP21" s="16">
        <f t="shared" si="27"/>
        <v>24.129681075459729</v>
      </c>
      <c r="AQ21" s="16">
        <f t="shared" si="27"/>
        <v>24.214774902245114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0.94541574535363249</v>
      </c>
      <c r="J22" s="21">
        <f t="shared" si="2"/>
        <v>3.7839488495314253</v>
      </c>
      <c r="K22" s="16">
        <f t="shared" si="6"/>
        <v>1.1662670286134127</v>
      </c>
      <c r="L22" s="16">
        <f t="shared" si="7"/>
        <v>0.29156675715335317</v>
      </c>
      <c r="M22" s="16">
        <f t="shared" si="8"/>
        <v>1.0007747382233723</v>
      </c>
      <c r="N22" s="16">
        <f t="shared" si="15"/>
        <v>0.29179264506478458</v>
      </c>
      <c r="O22" s="16">
        <f t="shared" si="16"/>
        <v>0.29179264506478458</v>
      </c>
      <c r="P22" s="16">
        <f t="shared" si="9"/>
        <v>1.1653641764417746</v>
      </c>
      <c r="Q22" s="16">
        <f t="shared" si="10"/>
        <v>0.34034307386331442</v>
      </c>
      <c r="R22" s="16">
        <f t="shared" si="11"/>
        <v>0.35640643351638562</v>
      </c>
      <c r="S22" s="16">
        <f t="shared" si="12"/>
        <v>5.7281276132646226E-3</v>
      </c>
      <c r="T22" s="16">
        <f t="shared" si="13"/>
        <v>0.19171658677055495</v>
      </c>
      <c r="U22" s="16"/>
      <c r="V22" s="16">
        <f t="shared" si="3"/>
        <v>20.509667712322642</v>
      </c>
      <c r="W22" s="16">
        <f t="shared" ref="W22:AQ22" si="28">9.81/(2*PI())*$E$9^2*TANH(2*PI()*$H22/V22)</f>
        <v>24.460189706738525</v>
      </c>
      <c r="X22" s="16">
        <f t="shared" si="28"/>
        <v>20.919708006282537</v>
      </c>
      <c r="Y22" s="16">
        <f t="shared" si="28"/>
        <v>24.042134329471736</v>
      </c>
      <c r="Z22" s="16">
        <f t="shared" si="28"/>
        <v>21.248049444477203</v>
      </c>
      <c r="AA22" s="16">
        <f t="shared" si="28"/>
        <v>23.716757978643173</v>
      </c>
      <c r="AB22" s="16">
        <f t="shared" si="28"/>
        <v>21.510394109980886</v>
      </c>
      <c r="AC22" s="16">
        <f t="shared" si="28"/>
        <v>23.462577492879216</v>
      </c>
      <c r="AD22" s="16">
        <f t="shared" si="28"/>
        <v>21.719609674575636</v>
      </c>
      <c r="AE22" s="16">
        <f t="shared" si="28"/>
        <v>23.26346261606346</v>
      </c>
      <c r="AF22" s="16">
        <f t="shared" si="28"/>
        <v>21.886188083457178</v>
      </c>
      <c r="AG22" s="16">
        <f t="shared" si="28"/>
        <v>23.107155212164443</v>
      </c>
      <c r="AH22" s="16">
        <f t="shared" si="28"/>
        <v>22.018641787426024</v>
      </c>
      <c r="AI22" s="16">
        <f t="shared" si="28"/>
        <v>22.984254470619543</v>
      </c>
      <c r="AJ22" s="16">
        <f t="shared" si="28"/>
        <v>22.123846147864636</v>
      </c>
      <c r="AK22" s="16">
        <f t="shared" si="28"/>
        <v>22.887500792469108</v>
      </c>
      <c r="AL22" s="16">
        <f t="shared" si="28"/>
        <v>22.207332613082549</v>
      </c>
      <c r="AM22" s="16">
        <f t="shared" si="28"/>
        <v>22.811258363209216</v>
      </c>
      <c r="AN22" s="16">
        <f t="shared" si="28"/>
        <v>22.273536759838876</v>
      </c>
      <c r="AO22" s="16">
        <f t="shared" si="28"/>
        <v>22.751134149005942</v>
      </c>
      <c r="AP22" s="16">
        <f t="shared" si="28"/>
        <v>22.326005698109213</v>
      </c>
      <c r="AQ22" s="16">
        <f t="shared" si="28"/>
        <v>22.703693097188552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0.95881550604056431</v>
      </c>
      <c r="J23" s="21">
        <f t="shared" si="2"/>
        <v>3.4409212832352272</v>
      </c>
      <c r="K23" s="16">
        <f t="shared" si="6"/>
        <v>1.2412271167894224</v>
      </c>
      <c r="L23" s="16">
        <f t="shared" si="7"/>
        <v>0.31030677919735561</v>
      </c>
      <c r="M23" s="16">
        <f t="shared" si="8"/>
        <v>1.0012470270581162</v>
      </c>
      <c r="N23" s="16">
        <f t="shared" si="15"/>
        <v>0.31069374014733159</v>
      </c>
      <c r="O23" s="16">
        <f t="shared" si="16"/>
        <v>0.31069374014733159</v>
      </c>
      <c r="P23" s="16">
        <f t="shared" si="9"/>
        <v>1.2396812007886011</v>
      </c>
      <c r="Q23" s="16">
        <f t="shared" si="10"/>
        <v>0.40001543579800308</v>
      </c>
      <c r="R23" s="16">
        <f t="shared" si="11"/>
        <v>0.41889518480850868</v>
      </c>
      <c r="S23" s="16">
        <f t="shared" si="12"/>
        <v>5.5852326325034479E-3</v>
      </c>
      <c r="T23" s="16">
        <f t="shared" si="13"/>
        <v>0.26108717659439629</v>
      </c>
      <c r="U23" s="16"/>
      <c r="V23" s="16">
        <f t="shared" si="3"/>
        <v>16.326500064563653</v>
      </c>
      <c r="W23" s="16">
        <f t="shared" ref="W23:AQ23" si="29">9.81/(2*PI())*$E$9^2*TANH(2*PI()*$H23/V23)</f>
        <v>24.080576314932049</v>
      </c>
      <c r="X23" s="16">
        <f t="shared" si="29"/>
        <v>16.912218587697939</v>
      </c>
      <c r="Y23" s="16">
        <f t="shared" si="29"/>
        <v>23.34780456706391</v>
      </c>
      <c r="Z23" s="16">
        <f t="shared" si="29"/>
        <v>17.408896488479229</v>
      </c>
      <c r="AA23" s="16">
        <f t="shared" si="29"/>
        <v>22.758115863245592</v>
      </c>
      <c r="AB23" s="16">
        <f t="shared" si="29"/>
        <v>17.829464071860809</v>
      </c>
      <c r="AC23" s="16">
        <f t="shared" si="29"/>
        <v>22.280089834165619</v>
      </c>
      <c r="AD23" s="16">
        <f t="shared" si="29"/>
        <v>18.184998627767406</v>
      </c>
      <c r="AE23" s="16">
        <f t="shared" si="29"/>
        <v>21.89040374836873</v>
      </c>
      <c r="AF23" s="16">
        <f t="shared" si="29"/>
        <v>18.485052733761467</v>
      </c>
      <c r="AG23" s="16">
        <f t="shared" si="29"/>
        <v>21.571346680378443</v>
      </c>
      <c r="AH23" s="16">
        <f t="shared" si="29"/>
        <v>18.737877222180241</v>
      </c>
      <c r="AI23" s="16">
        <f t="shared" si="29"/>
        <v>21.30922405221483</v>
      </c>
      <c r="AJ23" s="16">
        <f t="shared" si="29"/>
        <v>18.950589995399177</v>
      </c>
      <c r="AK23" s="16">
        <f t="shared" si="29"/>
        <v>21.09329352109626</v>
      </c>
      <c r="AL23" s="16">
        <f t="shared" si="29"/>
        <v>19.129315424513727</v>
      </c>
      <c r="AM23" s="16">
        <f t="shared" si="29"/>
        <v>20.915031302216658</v>
      </c>
      <c r="AN23" s="16">
        <f t="shared" si="29"/>
        <v>19.279305909555351</v>
      </c>
      <c r="AO23" s="16">
        <f t="shared" si="29"/>
        <v>20.767611561700132</v>
      </c>
      <c r="AP23" s="16">
        <f t="shared" si="29"/>
        <v>19.405050736555179</v>
      </c>
      <c r="AQ23" s="16">
        <f t="shared" si="29"/>
        <v>20.645527699411364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0.97185909578024476</v>
      </c>
      <c r="J24" s="21">
        <f t="shared" si="2"/>
        <v>3.1435903289189979</v>
      </c>
      <c r="K24" s="16">
        <f t="shared" si="6"/>
        <v>1.3363854334524676</v>
      </c>
      <c r="L24" s="16">
        <f t="shared" si="7"/>
        <v>0.33409635836311691</v>
      </c>
      <c r="M24" s="16">
        <f t="shared" si="8"/>
        <v>1.0025614690047193</v>
      </c>
      <c r="N24" s="16">
        <f t="shared" si="15"/>
        <v>0.33495213582965361</v>
      </c>
      <c r="O24" s="16">
        <f t="shared" si="16"/>
        <v>0.33495213582965361</v>
      </c>
      <c r="P24" s="16">
        <f t="shared" si="9"/>
        <v>1.3329710693740784</v>
      </c>
      <c r="Q24" s="16">
        <f t="shared" si="10"/>
        <v>0.49250811409332396</v>
      </c>
      <c r="R24" s="16">
        <f t="shared" si="11"/>
        <v>0.5157532910229834</v>
      </c>
      <c r="S24" s="16">
        <f t="shared" si="12"/>
        <v>5.4127033551666101E-3</v>
      </c>
      <c r="T24" s="16">
        <f t="shared" si="13"/>
        <v>0.37635071441534113</v>
      </c>
      <c r="U24" s="16"/>
      <c r="V24" s="16">
        <f t="shared" si="3"/>
        <v>12.366927694884209</v>
      </c>
      <c r="W24" s="16">
        <f t="shared" ref="W24:AQ24" si="30">9.81/(2*PI())*$E$9^2*TANH(2*PI()*$H24/V24)</f>
        <v>23.81421491883787</v>
      </c>
      <c r="X24" s="16">
        <f t="shared" si="30"/>
        <v>12.961165027856739</v>
      </c>
      <c r="Y24" s="16">
        <f t="shared" si="30"/>
        <v>22.84981432766989</v>
      </c>
      <c r="Z24" s="16">
        <f t="shared" si="30"/>
        <v>13.487381355054541</v>
      </c>
      <c r="AA24" s="16">
        <f t="shared" si="30"/>
        <v>22.054674720814759</v>
      </c>
      <c r="AB24" s="16">
        <f t="shared" si="30"/>
        <v>13.953757439741443</v>
      </c>
      <c r="AC24" s="16">
        <f t="shared" si="30"/>
        <v>21.392141000895688</v>
      </c>
      <c r="AD24" s="16">
        <f t="shared" si="30"/>
        <v>14.367122260516132</v>
      </c>
      <c r="AE24" s="16">
        <f t="shared" si="30"/>
        <v>20.835511847748958</v>
      </c>
      <c r="AF24" s="16">
        <f t="shared" si="30"/>
        <v>14.733342790794104</v>
      </c>
      <c r="AG24" s="16">
        <f t="shared" si="30"/>
        <v>20.364769568247244</v>
      </c>
      <c r="AH24" s="16">
        <f t="shared" si="30"/>
        <v>15.057559046891383</v>
      </c>
      <c r="AI24" s="16">
        <f t="shared" si="30"/>
        <v>19.964546739847339</v>
      </c>
      <c r="AJ24" s="16">
        <f t="shared" si="30"/>
        <v>15.344331206354706</v>
      </c>
      <c r="AK24" s="16">
        <f t="shared" si="30"/>
        <v>19.622810629441574</v>
      </c>
      <c r="AL24" s="16">
        <f t="shared" si="30"/>
        <v>15.597735611473651</v>
      </c>
      <c r="AM24" s="16">
        <f t="shared" si="30"/>
        <v>19.329982607985485</v>
      </c>
      <c r="AN24" s="16">
        <f t="shared" si="30"/>
        <v>15.82143067723289</v>
      </c>
      <c r="AO24" s="16">
        <f t="shared" si="30"/>
        <v>19.078331081531161</v>
      </c>
      <c r="AP24" s="16">
        <f t="shared" si="30"/>
        <v>16.018704955805877</v>
      </c>
      <c r="AQ24" s="16">
        <f t="shared" si="30"/>
        <v>18.861541973513987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0.98119437644337393</v>
      </c>
      <c r="J25" s="21">
        <f t="shared" si="2"/>
        <v>2.9581772115106566</v>
      </c>
      <c r="K25" s="16">
        <f t="shared" si="6"/>
        <v>1.4330555196903194</v>
      </c>
      <c r="L25" s="16">
        <f t="shared" si="7"/>
        <v>0.35826387992257985</v>
      </c>
      <c r="M25" s="16">
        <f t="shared" si="8"/>
        <v>1.0040535236694308</v>
      </c>
      <c r="N25" s="16">
        <f t="shared" si="15"/>
        <v>0.35971611103974815</v>
      </c>
      <c r="O25" s="16">
        <f t="shared" si="16"/>
        <v>0.35971611103974815</v>
      </c>
      <c r="P25" s="16">
        <f t="shared" si="9"/>
        <v>1.4272700467730552</v>
      </c>
      <c r="Q25" s="16">
        <f t="shared" si="10"/>
        <v>0.60744111650307642</v>
      </c>
      <c r="R25" s="16">
        <f t="shared" si="11"/>
        <v>0.63611084969814879</v>
      </c>
      <c r="S25" s="16">
        <f t="shared" si="12"/>
        <v>5.2507560014154612E-3</v>
      </c>
      <c r="T25" s="16">
        <f t="shared" si="13"/>
        <v>0.52899428094080603</v>
      </c>
      <c r="U25" s="16"/>
      <c r="V25" s="16">
        <f t="shared" si="3"/>
        <v>9.5135092385810207</v>
      </c>
      <c r="W25" s="16">
        <f t="shared" ref="W25:AQ25" si="31">9.81/(2*PI())*$E$9^2*TANH(2*PI()*$H25/V25)</f>
        <v>23.672385059930669</v>
      </c>
      <c r="X25" s="16">
        <f t="shared" si="31"/>
        <v>10.035941265896714</v>
      </c>
      <c r="Y25" s="16">
        <f t="shared" si="31"/>
        <v>22.580872042428084</v>
      </c>
      <c r="Z25" s="16">
        <f t="shared" si="31"/>
        <v>10.509930329663222</v>
      </c>
      <c r="AA25" s="16">
        <f t="shared" si="31"/>
        <v>21.668954005528231</v>
      </c>
      <c r="AB25" s="16">
        <f t="shared" si="31"/>
        <v>10.941197040461814</v>
      </c>
      <c r="AC25" s="16">
        <f t="shared" si="31"/>
        <v>20.897453453116434</v>
      </c>
      <c r="AD25" s="16">
        <f t="shared" si="31"/>
        <v>11.334282159131057</v>
      </c>
      <c r="AE25" s="16">
        <f t="shared" si="31"/>
        <v>20.238180957011583</v>
      </c>
      <c r="AF25" s="16">
        <f t="shared" si="31"/>
        <v>11.692925033247878</v>
      </c>
      <c r="AG25" s="16">
        <f t="shared" si="31"/>
        <v>19.670226346668301</v>
      </c>
      <c r="AH25" s="16">
        <f t="shared" si="31"/>
        <v>12.020298452151081</v>
      </c>
      <c r="AI25" s="16">
        <f t="shared" si="31"/>
        <v>19.177679721090577</v>
      </c>
      <c r="AJ25" s="16">
        <f t="shared" si="31"/>
        <v>12.319159348418108</v>
      </c>
      <c r="AK25" s="16">
        <f t="shared" si="31"/>
        <v>18.74817257922232</v>
      </c>
      <c r="AL25" s="16">
        <f t="shared" si="31"/>
        <v>12.59194806750719</v>
      </c>
      <c r="AM25" s="16">
        <f t="shared" si="31"/>
        <v>18.371911151600251</v>
      </c>
      <c r="AN25" s="16">
        <f t="shared" si="31"/>
        <v>12.840855198620226</v>
      </c>
      <c r="AO25" s="16">
        <f t="shared" si="31"/>
        <v>18.041016649354088</v>
      </c>
      <c r="AP25" s="16">
        <f t="shared" si="31"/>
        <v>13.067867469047041</v>
      </c>
      <c r="AQ25" s="16">
        <f t="shared" si="31"/>
        <v>17.749063269063939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0.98250072598244165</v>
      </c>
      <c r="J26" s="21">
        <f t="shared" si="2"/>
        <v>2.9340807695973172</v>
      </c>
      <c r="K26" s="16">
        <f t="shared" si="6"/>
        <v>1.4551868780085169</v>
      </c>
      <c r="L26" s="16">
        <f t="shared" si="7"/>
        <v>0.36379671950212922</v>
      </c>
      <c r="M26" s="16">
        <f t="shared" si="8"/>
        <v>1.0020331094902231</v>
      </c>
      <c r="N26" s="16">
        <f t="shared" si="15"/>
        <v>0.36453635806506102</v>
      </c>
      <c r="O26" s="16">
        <f t="shared" si="16"/>
        <v>0.36453635806506102</v>
      </c>
      <c r="P26" s="16">
        <f t="shared" si="9"/>
        <v>1.4522343266170441</v>
      </c>
      <c r="Q26" s="16">
        <f t="shared" si="10"/>
        <v>0.66723543323801815</v>
      </c>
      <c r="R26" s="16">
        <f t="shared" si="11"/>
        <v>0.6987273117584536</v>
      </c>
      <c r="S26" s="16">
        <f t="shared" si="12"/>
        <v>5.1819010418888336E-3</v>
      </c>
      <c r="T26" s="16">
        <f t="shared" si="13"/>
        <v>0.56082516625393997</v>
      </c>
      <c r="U26" s="16"/>
      <c r="V26" s="16">
        <f t="shared" si="3"/>
        <v>9.1013399511554827</v>
      </c>
      <c r="W26" s="16">
        <f t="shared" ref="W26:AQ26" si="32">9.81/(2*PI())*$E$9^2*TANH(2*PI()*$H26/V26)</f>
        <v>23.655169360783873</v>
      </c>
      <c r="X26" s="16">
        <f t="shared" si="32"/>
        <v>9.6088939872019132</v>
      </c>
      <c r="Y26" s="16">
        <f t="shared" si="32"/>
        <v>22.548044673083055</v>
      </c>
      <c r="Z26" s="16">
        <f t="shared" si="32"/>
        <v>10.070770034104491</v>
      </c>
      <c r="AA26" s="16">
        <f t="shared" si="32"/>
        <v>21.621584102883102</v>
      </c>
      <c r="AB26" s="16">
        <f t="shared" si="32"/>
        <v>10.492400964721147</v>
      </c>
      <c r="AC26" s="16">
        <f t="shared" si="32"/>
        <v>20.836305243231461</v>
      </c>
      <c r="AD26" s="16">
        <f t="shared" si="32"/>
        <v>10.878068070929375</v>
      </c>
      <c r="AE26" s="16">
        <f t="shared" si="32"/>
        <v>20.163841891904006</v>
      </c>
      <c r="AF26" s="16">
        <f t="shared" si="32"/>
        <v>11.231271462857059</v>
      </c>
      <c r="AG26" s="16">
        <f t="shared" si="32"/>
        <v>19.583181560320405</v>
      </c>
      <c r="AH26" s="16">
        <f t="shared" si="32"/>
        <v>11.554960762629067</v>
      </c>
      <c r="AI26" s="16">
        <f t="shared" si="32"/>
        <v>19.07835648295028</v>
      </c>
      <c r="AJ26" s="16">
        <f t="shared" si="32"/>
        <v>11.85168383940761</v>
      </c>
      <c r="AK26" s="16">
        <f t="shared" si="32"/>
        <v>18.636967174559647</v>
      </c>
      <c r="AL26" s="16">
        <f t="shared" si="32"/>
        <v>12.123685316740392</v>
      </c>
      <c r="AM26" s="16">
        <f t="shared" si="32"/>
        <v>18.249205081797545</v>
      </c>
      <c r="AN26" s="16">
        <f t="shared" si="32"/>
        <v>12.37297324785685</v>
      </c>
      <c r="AO26" s="16">
        <f t="shared" si="32"/>
        <v>17.907186158064562</v>
      </c>
      <c r="AP26" s="16">
        <f t="shared" si="32"/>
        <v>12.60136509980315</v>
      </c>
      <c r="AQ26" s="16">
        <f t="shared" si="32"/>
        <v>17.604484617583903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0.98590044416229117</v>
      </c>
      <c r="J27" s="22" t="e">
        <f>IF(B27&gt;=0," ",K27/K$9)</f>
        <v>#DIV/0!</v>
      </c>
      <c r="K27" s="22">
        <f>IF(B27&gt;=0," ",L27/L$9)</f>
        <v>1.5068168462228264</v>
      </c>
      <c r="L27" s="16">
        <f t="shared" si="7"/>
        <v>0.3767042115557066</v>
      </c>
      <c r="M27" s="16">
        <f t="shared" si="8"/>
        <v>1.0049590014710712</v>
      </c>
      <c r="N27" s="16">
        <f t="shared" si="15"/>
        <v>0.37857228829497008</v>
      </c>
      <c r="O27" s="16">
        <f t="shared" si="16"/>
        <v>0.37619999999999998</v>
      </c>
      <c r="P27" s="16">
        <f t="shared" si="9"/>
        <v>1.4993814115970199</v>
      </c>
      <c r="Q27" s="16">
        <f t="shared" si="10"/>
        <v>0.72207001825000594</v>
      </c>
      <c r="R27" s="16">
        <f t="shared" si="11"/>
        <v>0.75614995490388892</v>
      </c>
      <c r="S27" s="16">
        <f t="shared" si="12"/>
        <v>5.1256307597135507E-3</v>
      </c>
      <c r="T27" s="16">
        <f t="shared" si="13"/>
        <v>0.66</v>
      </c>
      <c r="U27" s="16"/>
      <c r="V27" s="16">
        <f t="shared" si="3"/>
        <v>7.9974138345839716</v>
      </c>
      <c r="W27" s="16">
        <f t="shared" ref="W27:AQ27" si="33">9.81/(2*PI())*$E$9^2*TANH(2*PI()*$H27/V27)</f>
        <v>23.613010720653158</v>
      </c>
      <c r="X27" s="16">
        <f t="shared" si="33"/>
        <v>8.4602376795442336</v>
      </c>
      <c r="Y27" s="16">
        <f t="shared" si="33"/>
        <v>22.467486966142346</v>
      </c>
      <c r="Z27" s="16">
        <f t="shared" si="33"/>
        <v>8.884542751185224</v>
      </c>
      <c r="AA27" s="16">
        <f t="shared" si="33"/>
        <v>21.505069313339909</v>
      </c>
      <c r="AB27" s="16">
        <f t="shared" si="33"/>
        <v>9.2750498174774272</v>
      </c>
      <c r="AC27" s="16">
        <f t="shared" si="33"/>
        <v>20.685523969944335</v>
      </c>
      <c r="AD27" s="16">
        <f t="shared" si="33"/>
        <v>9.6354153183832025</v>
      </c>
      <c r="AE27" s="16">
        <f t="shared" si="33"/>
        <v>19.980049071993868</v>
      </c>
      <c r="AF27" s="16">
        <f t="shared" si="33"/>
        <v>9.9685735807208786</v>
      </c>
      <c r="AG27" s="16">
        <f t="shared" si="33"/>
        <v>19.367380602707055</v>
      </c>
      <c r="AH27" s="16">
        <f t="shared" si="33"/>
        <v>10.276951517612584</v>
      </c>
      <c r="AI27" s="16">
        <f t="shared" si="33"/>
        <v>18.831410006755259</v>
      </c>
      <c r="AJ27" s="16">
        <f t="shared" si="33"/>
        <v>10.562608518820396</v>
      </c>
      <c r="AK27" s="16">
        <f t="shared" si="33"/>
        <v>18.359664775540956</v>
      </c>
      <c r="AL27" s="16">
        <f t="shared" si="33"/>
        <v>10.827330335183415</v>
      </c>
      <c r="AM27" s="16">
        <f t="shared" si="33"/>
        <v>17.942304932651403</v>
      </c>
      <c r="AN27" s="16">
        <f t="shared" si="33"/>
        <v>11.072693582696221</v>
      </c>
      <c r="AO27" s="16">
        <f t="shared" si="33"/>
        <v>17.571440173746648</v>
      </c>
      <c r="AP27" s="16">
        <f t="shared" si="33"/>
        <v>11.300110908926952</v>
      </c>
      <c r="AQ27" s="16">
        <f t="shared" si="33"/>
        <v>17.240653054652284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0.98672546720324261</v>
      </c>
      <c r="J28" s="22" t="e">
        <f t="shared" ref="J28:J91" si="34">IF(B28&gt;=0," ",K28/K$9)</f>
        <v>#DIV/0!</v>
      </c>
      <c r="K28" s="22">
        <f t="shared" ref="K28:K91" si="35">IF(B28&gt;=0," ",L28/L$9)</f>
        <v>1.5278715814800812</v>
      </c>
      <c r="L28" s="16">
        <f t="shared" si="7"/>
        <v>0.38196789537002029</v>
      </c>
      <c r="M28" s="16">
        <f t="shared" si="8"/>
        <v>1.0038330382488019</v>
      </c>
      <c r="N28" s="16">
        <f t="shared" si="15"/>
        <v>0.38343199292278796</v>
      </c>
      <c r="O28" s="16">
        <f t="shared" si="16"/>
        <v>0.36300000000000004</v>
      </c>
      <c r="P28" s="16">
        <f t="shared" si="9"/>
        <v>1.5220375533220849</v>
      </c>
      <c r="Q28" s="16">
        <f t="shared" si="10"/>
        <v>0.75860087014302646</v>
      </c>
      <c r="R28" s="16">
        <f t="shared" si="11"/>
        <v>0.79440497354938555</v>
      </c>
      <c r="S28" s="16">
        <f t="shared" si="12"/>
        <v>5.091210516260547E-3</v>
      </c>
      <c r="T28" s="16">
        <f t="shared" si="13"/>
        <v>0.66</v>
      </c>
      <c r="U28" s="16"/>
      <c r="V28" s="16">
        <f t="shared" si="3"/>
        <v>7.7204098081723052</v>
      </c>
      <c r="W28" s="16">
        <f t="shared" ref="W28:AQ28" si="36">9.81/(2*PI())*$E$9^2*TANH(2*PI()*$H28/V28)</f>
        <v>23.603325533848455</v>
      </c>
      <c r="X28" s="16">
        <f t="shared" si="36"/>
        <v>8.1709638016502701</v>
      </c>
      <c r="Y28" s="16">
        <f t="shared" si="36"/>
        <v>22.448946378528507</v>
      </c>
      <c r="Z28" s="16">
        <f t="shared" si="36"/>
        <v>8.584728941352477</v>
      </c>
      <c r="AA28" s="16">
        <f t="shared" si="36"/>
        <v>21.478198502149365</v>
      </c>
      <c r="AB28" s="16">
        <f t="shared" si="36"/>
        <v>8.9662578878653605</v>
      </c>
      <c r="AC28" s="16">
        <f t="shared" si="36"/>
        <v>20.650674112496979</v>
      </c>
      <c r="AD28" s="16">
        <f t="shared" si="36"/>
        <v>9.3190637964425243</v>
      </c>
      <c r="AE28" s="16">
        <f t="shared" si="36"/>
        <v>19.937470209839994</v>
      </c>
      <c r="AF28" s="16">
        <f t="shared" si="36"/>
        <v>9.645954125146968</v>
      </c>
      <c r="AG28" s="16">
        <f t="shared" si="36"/>
        <v>19.317264263597899</v>
      </c>
      <c r="AH28" s="16">
        <f t="shared" si="36"/>
        <v>9.9492403312765116</v>
      </c>
      <c r="AI28" s="16">
        <f t="shared" si="36"/>
        <v>18.773914996688777</v>
      </c>
      <c r="AJ28" s="16">
        <f t="shared" si="36"/>
        <v>10.230874783585509</v>
      </c>
      <c r="AK28" s="16">
        <f t="shared" si="36"/>
        <v>18.294933127728054</v>
      </c>
      <c r="AL28" s="16">
        <f t="shared" si="36"/>
        <v>10.4925429047249</v>
      </c>
      <c r="AM28" s="16">
        <f t="shared" si="36"/>
        <v>17.870471859296252</v>
      </c>
      <c r="AN28" s="16">
        <f t="shared" si="36"/>
        <v>10.735726695714442</v>
      </c>
      <c r="AO28" s="16">
        <f t="shared" si="36"/>
        <v>17.492640239629303</v>
      </c>
      <c r="AP28" s="16">
        <f t="shared" si="36"/>
        <v>10.961749389680344</v>
      </c>
      <c r="AQ28" s="16">
        <f t="shared" si="36"/>
        <v>17.155023906262279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0.98506432414186906</v>
      </c>
      <c r="J29" s="22" t="e">
        <f t="shared" si="34"/>
        <v>#DIV/0!</v>
      </c>
      <c r="K29" s="22">
        <f t="shared" si="35"/>
        <v>1.5070442616040998</v>
      </c>
      <c r="L29" s="16">
        <f t="shared" si="7"/>
        <v>0.37676106540102494</v>
      </c>
      <c r="M29" s="16">
        <f t="shared" si="8"/>
        <v>1.002458441830228</v>
      </c>
      <c r="N29" s="16">
        <f t="shared" si="15"/>
        <v>0.37768731056420812</v>
      </c>
      <c r="O29" s="16">
        <f t="shared" si="16"/>
        <v>0.37768731056420812</v>
      </c>
      <c r="P29" s="16">
        <f t="shared" si="9"/>
        <v>1.5033483670930332</v>
      </c>
      <c r="Q29" s="16">
        <f t="shared" si="10"/>
        <v>0.70673485294064742</v>
      </c>
      <c r="R29" s="16">
        <f t="shared" si="11"/>
        <v>0.74009100734473365</v>
      </c>
      <c r="S29" s="16">
        <f t="shared" si="12"/>
        <v>5.1407788348658131E-3</v>
      </c>
      <c r="T29" s="16">
        <f t="shared" si="13"/>
        <v>0.64014798400713246</v>
      </c>
      <c r="U29" s="16"/>
      <c r="V29" s="16">
        <f t="shared" si="3"/>
        <v>8.27402192069267</v>
      </c>
      <c r="W29" s="16">
        <f t="shared" ref="W29:AQ29" si="37">9.81/(2*PI())*$E$9^2*TANH(2*PI()*$H29/V29)</f>
        <v>23.623038092784288</v>
      </c>
      <c r="X29" s="16">
        <f t="shared" si="37"/>
        <v>8.7486924124875003</v>
      </c>
      <c r="Y29" s="16">
        <f t="shared" si="37"/>
        <v>22.486669237377182</v>
      </c>
      <c r="Z29" s="16">
        <f t="shared" si="37"/>
        <v>9.183088430143405</v>
      </c>
      <c r="AA29" s="16">
        <f t="shared" si="37"/>
        <v>21.532848559043746</v>
      </c>
      <c r="AB29" s="16">
        <f t="shared" si="37"/>
        <v>9.5821023246670283</v>
      </c>
      <c r="AC29" s="16">
        <f t="shared" si="37"/>
        <v>20.721521786639997</v>
      </c>
      <c r="AD29" s="16">
        <f t="shared" si="37"/>
        <v>9.9495385400266922</v>
      </c>
      <c r="AE29" s="16">
        <f t="shared" si="37"/>
        <v>20.023991258169126</v>
      </c>
      <c r="AF29" s="16">
        <f t="shared" si="37"/>
        <v>10.288463723841831</v>
      </c>
      <c r="AG29" s="16">
        <f t="shared" si="37"/>
        <v>19.419053148203663</v>
      </c>
      <c r="AH29" s="16">
        <f t="shared" si="37"/>
        <v>10.601426050698867</v>
      </c>
      <c r="AI29" s="16">
        <f t="shared" si="37"/>
        <v>18.890632521777452</v>
      </c>
      <c r="AJ29" s="16">
        <f t="shared" si="37"/>
        <v>10.890597796895362</v>
      </c>
      <c r="AK29" s="16">
        <f t="shared" si="37"/>
        <v>18.426274124862786</v>
      </c>
      <c r="AL29" s="16">
        <f t="shared" si="37"/>
        <v>11.157870736981538</v>
      </c>
      <c r="AM29" s="16">
        <f t="shared" si="37"/>
        <v>18.01614508745314</v>
      </c>
      <c r="AN29" s="16">
        <f t="shared" si="37"/>
        <v>11.404921450131711</v>
      </c>
      <c r="AO29" s="16">
        <f t="shared" si="37"/>
        <v>17.652355977123047</v>
      </c>
      <c r="AP29" s="16">
        <f t="shared" si="37"/>
        <v>11.633256867544173</v>
      </c>
      <c r="AQ29" s="16">
        <f t="shared" si="37"/>
        <v>17.328486514016827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0.98228396840530174</v>
      </c>
      <c r="J30" s="22" t="e">
        <f t="shared" si="34"/>
        <v>#DIV/0!</v>
      </c>
      <c r="K30" s="22">
        <f t="shared" si="35"/>
        <v>1.4717873403632542</v>
      </c>
      <c r="L30" s="16">
        <f t="shared" si="7"/>
        <v>0.36794683509081355</v>
      </c>
      <c r="M30" s="16">
        <f t="shared" si="8"/>
        <v>1.0028572275256089</v>
      </c>
      <c r="N30" s="16">
        <f t="shared" si="15"/>
        <v>0.3689981429159957</v>
      </c>
      <c r="O30" s="16">
        <f t="shared" si="16"/>
        <v>0.3689981429159957</v>
      </c>
      <c r="P30" s="16">
        <f t="shared" si="9"/>
        <v>1.4675940901325066</v>
      </c>
      <c r="Q30" s="16">
        <f t="shared" si="10"/>
        <v>0.69789105804034757</v>
      </c>
      <c r="R30" s="16">
        <f t="shared" si="11"/>
        <v>0.73082980698185462</v>
      </c>
      <c r="S30" s="16">
        <f t="shared" si="12"/>
        <v>5.1497153622710257E-3</v>
      </c>
      <c r="T30" s="16">
        <f t="shared" si="13"/>
        <v>0.5633559433831995</v>
      </c>
      <c r="U30" s="16"/>
      <c r="V30" s="16">
        <f t="shared" si="3"/>
        <v>9.1701059739254482</v>
      </c>
      <c r="W30" s="16">
        <f t="shared" ref="W30:AQ30" si="38">9.81/(2*PI())*$E$9^2*TANH(2*PI()*$H30/V30)</f>
        <v>23.6579854732299</v>
      </c>
      <c r="X30" s="16">
        <f t="shared" si="38"/>
        <v>9.6802139216312835</v>
      </c>
      <c r="Y30" s="16">
        <f t="shared" si="38"/>
        <v>22.553417236589326</v>
      </c>
      <c r="Z30" s="16">
        <f t="shared" si="38"/>
        <v>10.144185568758553</v>
      </c>
      <c r="AA30" s="16">
        <f t="shared" si="38"/>
        <v>21.629341058620078</v>
      </c>
      <c r="AB30" s="16">
        <f t="shared" si="38"/>
        <v>10.567500855981223</v>
      </c>
      <c r="AC30" s="16">
        <f t="shared" si="38"/>
        <v>20.846324462764187</v>
      </c>
      <c r="AD30" s="16">
        <f t="shared" si="38"/>
        <v>10.954483280327608</v>
      </c>
      <c r="AE30" s="16">
        <f t="shared" si="38"/>
        <v>20.176030182896792</v>
      </c>
      <c r="AF30" s="16">
        <f t="shared" si="38"/>
        <v>11.308671736517072</v>
      </c>
      <c r="AG30" s="16">
        <f t="shared" si="38"/>
        <v>19.597462456278389</v>
      </c>
      <c r="AH30" s="16">
        <f t="shared" si="38"/>
        <v>11.633051977477166</v>
      </c>
      <c r="AI30" s="16">
        <f t="shared" si="38"/>
        <v>19.094662940357548</v>
      </c>
      <c r="AJ30" s="16">
        <f t="shared" si="38"/>
        <v>11.930205729348042</v>
      </c>
      <c r="AK30" s="16">
        <f t="shared" si="38"/>
        <v>18.655237144477859</v>
      </c>
      <c r="AL30" s="16">
        <f t="shared" si="38"/>
        <v>12.202409361614482</v>
      </c>
      <c r="AM30" s="16">
        <f t="shared" si="38"/>
        <v>18.26937882953942</v>
      </c>
      <c r="AN30" s="16">
        <f t="shared" si="38"/>
        <v>12.451700610573512</v>
      </c>
      <c r="AO30" s="16">
        <f t="shared" si="38"/>
        <v>17.929204676866291</v>
      </c>
      <c r="AP30" s="16">
        <f t="shared" si="38"/>
        <v>12.679924559662979</v>
      </c>
      <c r="AQ30" s="16">
        <f t="shared" si="38"/>
        <v>17.628288740829504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0.98293295935971825</v>
      </c>
      <c r="J31" s="22" t="e">
        <f t="shared" si="34"/>
        <v>#DIV/0!</v>
      </c>
      <c r="K31" s="22">
        <f t="shared" si="35"/>
        <v>1.4845659771238622</v>
      </c>
      <c r="L31" s="16">
        <f t="shared" si="7"/>
        <v>0.37114149428096554</v>
      </c>
      <c r="M31" s="16">
        <f t="shared" si="8"/>
        <v>1</v>
      </c>
      <c r="N31" s="16">
        <f t="shared" si="15"/>
        <v>0.37114149428096554</v>
      </c>
      <c r="O31" s="16">
        <f t="shared" si="16"/>
        <v>0.37114149428096554</v>
      </c>
      <c r="P31" s="16">
        <f t="shared" si="9"/>
        <v>1.4845659771238622</v>
      </c>
      <c r="Q31" s="16">
        <f t="shared" si="10"/>
        <v>0.68977918293563112</v>
      </c>
      <c r="R31" s="16">
        <f t="shared" si="11"/>
        <v>0.72233507123658292</v>
      </c>
      <c r="S31" s="16">
        <f t="shared" si="12"/>
        <v>5.1580460603613924E-3</v>
      </c>
      <c r="T31" s="16">
        <f t="shared" si="13"/>
        <v>0.57990858481400864</v>
      </c>
      <c r="U31" s="16"/>
      <c r="V31" s="16">
        <f t="shared" si="3"/>
        <v>8.9637241334657123</v>
      </c>
      <c r="W31" s="16">
        <f t="shared" ref="W31:AQ31" si="39">9.81/(2*PI())*$E$9^2*TANH(2*PI()*$H31/V31)</f>
        <v>23.649600995725425</v>
      </c>
      <c r="X31" s="16">
        <f t="shared" si="39"/>
        <v>9.4660825923694762</v>
      </c>
      <c r="Y31" s="16">
        <f t="shared" si="39"/>
        <v>22.537418239127796</v>
      </c>
      <c r="Z31" s="16">
        <f t="shared" si="39"/>
        <v>9.9236763447271912</v>
      </c>
      <c r="AA31" s="16">
        <f t="shared" si="39"/>
        <v>21.606236544584704</v>
      </c>
      <c r="AB31" s="16">
        <f t="shared" si="39"/>
        <v>10.341845136560936</v>
      </c>
      <c r="AC31" s="16">
        <f t="shared" si="39"/>
        <v>20.816474701872732</v>
      </c>
      <c r="AD31" s="16">
        <f t="shared" si="39"/>
        <v>10.724787051303954</v>
      </c>
      <c r="AE31" s="16">
        <f t="shared" si="39"/>
        <v>20.139709255716689</v>
      </c>
      <c r="AF31" s="16">
        <f t="shared" si="39"/>
        <v>11.075925905271674</v>
      </c>
      <c r="AG31" s="16">
        <f t="shared" si="39"/>
        <v>19.554894642857242</v>
      </c>
      <c r="AH31" s="16">
        <f t="shared" si="39"/>
        <v>11.398140321705684</v>
      </c>
      <c r="AI31" s="16">
        <f t="shared" si="39"/>
        <v>19.046044498885429</v>
      </c>
      <c r="AJ31" s="16">
        <f t="shared" si="39"/>
        <v>11.693911643384554</v>
      </c>
      <c r="AK31" s="16">
        <f t="shared" si="39"/>
        <v>18.600749532407615</v>
      </c>
      <c r="AL31" s="16">
        <f t="shared" si="39"/>
        <v>11.965422070453263</v>
      </c>
      <c r="AM31" s="16">
        <f t="shared" si="39"/>
        <v>18.20919671940085</v>
      </c>
      <c r="AN31" s="16">
        <f t="shared" si="39"/>
        <v>12.214621210698512</v>
      </c>
      <c r="AO31" s="16">
        <f t="shared" si="39"/>
        <v>17.863500712729032</v>
      </c>
      <c r="AP31" s="16">
        <f t="shared" si="39"/>
        <v>12.443272055321758</v>
      </c>
      <c r="AQ31" s="16">
        <f t="shared" si="39"/>
        <v>17.557236211616424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0.97903614507016568</v>
      </c>
      <c r="J32" s="22" t="e">
        <f t="shared" si="34"/>
        <v>#DIV/0!</v>
      </c>
      <c r="K32" s="22">
        <f t="shared" si="35"/>
        <v>1.4370193453509863</v>
      </c>
      <c r="L32" s="16">
        <f t="shared" si="7"/>
        <v>0.35925483633774657</v>
      </c>
      <c r="M32" s="16">
        <f t="shared" si="8"/>
        <v>1.0019881478017567</v>
      </c>
      <c r="N32" s="16">
        <f t="shared" si="15"/>
        <v>0.35996908805088196</v>
      </c>
      <c r="O32" s="16">
        <f t="shared" si="16"/>
        <v>0.35996908805088196</v>
      </c>
      <c r="P32" s="16">
        <f t="shared" si="9"/>
        <v>1.4341680073797645</v>
      </c>
      <c r="Q32" s="16">
        <f t="shared" si="10"/>
        <v>0.65005729725928862</v>
      </c>
      <c r="R32" s="16">
        <f t="shared" si="11"/>
        <v>0.68073840982740574</v>
      </c>
      <c r="S32" s="16">
        <f t="shared" si="12"/>
        <v>5.2008122751773401E-3</v>
      </c>
      <c r="T32" s="16">
        <f t="shared" si="13"/>
        <v>0.49378475727144328</v>
      </c>
      <c r="U32" s="16"/>
      <c r="V32" s="16">
        <f t="shared" si="3"/>
        <v>10.184440279211403</v>
      </c>
      <c r="W32" s="16">
        <f t="shared" ref="W32:AQ32" si="40">9.81/(2*PI())*$E$9^2*TANH(2*PI()*$H32/V32)</f>
        <v>23.702147917215548</v>
      </c>
      <c r="X32" s="16">
        <f t="shared" si="40"/>
        <v>10.728811752907733</v>
      </c>
      <c r="Y32" s="16">
        <f t="shared" si="40"/>
        <v>22.637531005427416</v>
      </c>
      <c r="Z32" s="16">
        <f t="shared" si="40"/>
        <v>11.220162836440348</v>
      </c>
      <c r="AA32" s="16">
        <f t="shared" si="40"/>
        <v>21.750564041869307</v>
      </c>
      <c r="AB32" s="16">
        <f t="shared" si="40"/>
        <v>11.66471420786759</v>
      </c>
      <c r="AC32" s="16">
        <f t="shared" si="40"/>
        <v>21.002595554491712</v>
      </c>
      <c r="AD32" s="16">
        <f t="shared" si="40"/>
        <v>12.067464541515173</v>
      </c>
      <c r="AE32" s="16">
        <f t="shared" si="40"/>
        <v>20.365741848945056</v>
      </c>
      <c r="AF32" s="16">
        <f t="shared" si="40"/>
        <v>12.432578748804122</v>
      </c>
      <c r="AG32" s="16">
        <f t="shared" si="40"/>
        <v>19.819270866311939</v>
      </c>
      <c r="AH32" s="16">
        <f t="shared" si="40"/>
        <v>12.763627309240006</v>
      </c>
      <c r="AI32" s="16">
        <f t="shared" si="40"/>
        <v>19.3473750453234</v>
      </c>
      <c r="AJ32" s="16">
        <f t="shared" si="40"/>
        <v>13.063738590154445</v>
      </c>
      <c r="AK32" s="16">
        <f t="shared" si="40"/>
        <v>18.937742808251251</v>
      </c>
      <c r="AL32" s="16">
        <f t="shared" si="40"/>
        <v>13.335698337398821</v>
      </c>
      <c r="AM32" s="16">
        <f t="shared" si="40"/>
        <v>18.580610293384506</v>
      </c>
      <c r="AN32" s="16">
        <f t="shared" si="40"/>
        <v>13.582016194661605</v>
      </c>
      <c r="AO32" s="16">
        <f t="shared" si="40"/>
        <v>18.268113041355914</v>
      </c>
      <c r="AP32" s="16">
        <f t="shared" si="40"/>
        <v>13.804971252030027</v>
      </c>
      <c r="AQ32" s="16">
        <f t="shared" si="40"/>
        <v>17.993831219195918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0.98036061005728348</v>
      </c>
      <c r="J33" s="22" t="e">
        <f t="shared" si="34"/>
        <v>#DIV/0!</v>
      </c>
      <c r="K33" s="22">
        <f t="shared" si="35"/>
        <v>1.4550830686064991</v>
      </c>
      <c r="L33" s="16">
        <f t="shared" si="7"/>
        <v>0.36377076715162476</v>
      </c>
      <c r="M33" s="16">
        <f t="shared" si="8"/>
        <v>1.0047766929904542</v>
      </c>
      <c r="N33" s="16">
        <f t="shared" si="15"/>
        <v>0.36550838842521011</v>
      </c>
      <c r="O33" s="16">
        <f t="shared" si="16"/>
        <v>0.36550838842521011</v>
      </c>
      <c r="P33" s="16">
        <f t="shared" si="9"/>
        <v>1.4481656260117122</v>
      </c>
      <c r="Q33" s="16">
        <f t="shared" si="10"/>
        <v>0.6438764041473265</v>
      </c>
      <c r="R33" s="16">
        <f t="shared" si="11"/>
        <v>0.6742657936963512</v>
      </c>
      <c r="S33" s="16">
        <f t="shared" si="12"/>
        <v>5.2077806923786175E-3</v>
      </c>
      <c r="T33" s="16">
        <f t="shared" si="13"/>
        <v>0.52290184324064404</v>
      </c>
      <c r="U33" s="16"/>
      <c r="V33" s="16">
        <f t="shared" si="3"/>
        <v>9.7740090729799238</v>
      </c>
      <c r="W33" s="16">
        <f t="shared" ref="W33:AQ33" si="41">9.81/(2*PI())*$E$9^2*TANH(2*PI()*$H33/V33)</f>
        <v>23.683683968453067</v>
      </c>
      <c r="X33" s="16">
        <f t="shared" si="41"/>
        <v>10.305301872968309</v>
      </c>
      <c r="Y33" s="16">
        <f t="shared" si="41"/>
        <v>22.602395507807195</v>
      </c>
      <c r="Z33" s="16">
        <f t="shared" si="41"/>
        <v>10.786384122246185</v>
      </c>
      <c r="AA33" s="16">
        <f t="shared" si="41"/>
        <v>21.699977977850772</v>
      </c>
      <c r="AB33" s="16">
        <f t="shared" si="41"/>
        <v>11.223165660478841</v>
      </c>
      <c r="AC33" s="16">
        <f t="shared" si="41"/>
        <v>20.93745367323017</v>
      </c>
      <c r="AD33" s="16">
        <f t="shared" si="41"/>
        <v>11.62035961048973</v>
      </c>
      <c r="AE33" s="16">
        <f t="shared" si="41"/>
        <v>20.286749137355425</v>
      </c>
      <c r="AF33" s="16">
        <f t="shared" si="41"/>
        <v>11.981865118911072</v>
      </c>
      <c r="AG33" s="16">
        <f t="shared" si="41"/>
        <v>19.727021555257842</v>
      </c>
      <c r="AH33" s="16">
        <f t="shared" si="41"/>
        <v>12.311004292220041</v>
      </c>
      <c r="AI33" s="16">
        <f t="shared" si="41"/>
        <v>19.242399455281127</v>
      </c>
      <c r="AJ33" s="16">
        <f t="shared" si="41"/>
        <v>12.610673756438167</v>
      </c>
      <c r="AK33" s="16">
        <f t="shared" si="41"/>
        <v>18.820535369959728</v>
      </c>
      <c r="AL33" s="16">
        <f t="shared" si="41"/>
        <v>12.883444153663284</v>
      </c>
      <c r="AM33" s="16">
        <f t="shared" si="41"/>
        <v>18.451646165137852</v>
      </c>
      <c r="AN33" s="16">
        <f t="shared" si="41"/>
        <v>13.131626922046987</v>
      </c>
      <c r="AO33" s="16">
        <f t="shared" si="41"/>
        <v>18.127857648150187</v>
      </c>
      <c r="AP33" s="16">
        <f t="shared" si="41"/>
        <v>13.357320070039947</v>
      </c>
      <c r="AQ33" s="16">
        <f t="shared" si="41"/>
        <v>17.842745334337618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0.98340631692653968</v>
      </c>
      <c r="J34" s="22" t="e">
        <f t="shared" si="34"/>
        <v>#DIV/0!</v>
      </c>
      <c r="K34" s="22">
        <f t="shared" si="35"/>
        <v>1.5011150265535722</v>
      </c>
      <c r="L34" s="16">
        <f t="shared" si="7"/>
        <v>0.37527875663839305</v>
      </c>
      <c r="M34" s="16">
        <f t="shared" si="8"/>
        <v>1.0038190348288938</v>
      </c>
      <c r="N34" s="16">
        <f t="shared" si="15"/>
        <v>0.37671195928053902</v>
      </c>
      <c r="O34" s="16">
        <f t="shared" si="16"/>
        <v>0.37671195928053902</v>
      </c>
      <c r="P34" s="16">
        <f t="shared" si="9"/>
        <v>1.495404026493127</v>
      </c>
      <c r="Q34" s="16">
        <f t="shared" si="10"/>
        <v>0.68920420069280985</v>
      </c>
      <c r="R34" s="16">
        <f t="shared" si="11"/>
        <v>0.72173295123991899</v>
      </c>
      <c r="S34" s="16">
        <f t="shared" si="12"/>
        <v>5.1586415074637909E-3</v>
      </c>
      <c r="T34" s="16">
        <f t="shared" si="13"/>
        <v>0.59890613558114314</v>
      </c>
      <c r="U34" s="16"/>
      <c r="V34" s="16">
        <f t="shared" si="3"/>
        <v>8.8122193311268529</v>
      </c>
      <c r="W34" s="16">
        <f t="shared" ref="W34:AQ34" si="42">9.81/(2*PI())*$E$9^2*TANH(2*PI()*$H34/V34)</f>
        <v>23.643574192255578</v>
      </c>
      <c r="X34" s="16">
        <f t="shared" si="42"/>
        <v>9.308728881848273</v>
      </c>
      <c r="Y34" s="16">
        <f t="shared" si="42"/>
        <v>22.525912239676174</v>
      </c>
      <c r="Z34" s="16">
        <f t="shared" si="42"/>
        <v>9.7614728907697241</v>
      </c>
      <c r="AA34" s="16">
        <f t="shared" si="42"/>
        <v>21.589611123480712</v>
      </c>
      <c r="AB34" s="16">
        <f t="shared" si="42"/>
        <v>10.175690159079187</v>
      </c>
      <c r="AC34" s="16">
        <f t="shared" si="42"/>
        <v>20.794982571504747</v>
      </c>
      <c r="AD34" s="16">
        <f t="shared" si="42"/>
        <v>10.55548904322939</v>
      </c>
      <c r="AE34" s="16">
        <f t="shared" si="42"/>
        <v>20.113541092608777</v>
      </c>
      <c r="AF34" s="16">
        <f t="shared" si="42"/>
        <v>10.904211365902324</v>
      </c>
      <c r="AG34" s="16">
        <f t="shared" si="42"/>
        <v>19.524205307732426</v>
      </c>
      <c r="AH34" s="16">
        <f t="shared" si="42"/>
        <v>11.224659577691913</v>
      </c>
      <c r="AI34" s="16">
        <f t="shared" si="42"/>
        <v>19.010968757248737</v>
      </c>
      <c r="AJ34" s="16">
        <f t="shared" si="42"/>
        <v>11.519243669303199</v>
      </c>
      <c r="AK34" s="16">
        <f t="shared" si="42"/>
        <v>18.561411625636499</v>
      </c>
      <c r="AL34" s="16">
        <f t="shared" si="42"/>
        <v>11.790078834517132</v>
      </c>
      <c r="AM34" s="16">
        <f t="shared" si="42"/>
        <v>18.165716193362396</v>
      </c>
      <c r="AN34" s="16">
        <f t="shared" si="42"/>
        <v>12.039051837131378</v>
      </c>
      <c r="AO34" s="16">
        <f t="shared" si="42"/>
        <v>17.815995899965305</v>
      </c>
      <c r="AP34" s="16">
        <f t="shared" si="42"/>
        <v>12.267866950639601</v>
      </c>
      <c r="AQ34" s="16">
        <f t="shared" si="42"/>
        <v>17.50582621031997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0.98916049627163838</v>
      </c>
      <c r="J35" s="22" t="e">
        <f t="shared" si="34"/>
        <v>#DIV/0!</v>
      </c>
      <c r="K35" s="22">
        <f t="shared" si="35"/>
        <v>1.6047406193349234</v>
      </c>
      <c r="L35" s="16">
        <f t="shared" si="7"/>
        <v>0.40118515483373085</v>
      </c>
      <c r="M35" s="16">
        <f t="shared" si="8"/>
        <v>1.0042018906299874</v>
      </c>
      <c r="N35" s="16">
        <f t="shared" si="15"/>
        <v>0.40287089097671674</v>
      </c>
      <c r="O35" s="16">
        <f t="shared" si="16"/>
        <v>0.32273999999999992</v>
      </c>
      <c r="P35" s="16">
        <f t="shared" si="9"/>
        <v>1.5980258893240951</v>
      </c>
      <c r="Q35" s="16">
        <f t="shared" si="10"/>
        <v>0.80562116667976458</v>
      </c>
      <c r="R35" s="16">
        <f t="shared" si="11"/>
        <v>0.84364451293919551</v>
      </c>
      <c r="S35" s="16">
        <f t="shared" si="12"/>
        <v>5.0500216132061664E-3</v>
      </c>
      <c r="T35" s="16">
        <f t="shared" si="13"/>
        <v>0.66</v>
      </c>
      <c r="U35" s="16"/>
      <c r="V35" s="16">
        <f t="shared" si="3"/>
        <v>6.8732394903599561</v>
      </c>
      <c r="W35" s="16">
        <f t="shared" ref="W35:AQ35" si="43">9.81/(2*PI())*$E$9^2*TANH(2*PI()*$H35/V35)</f>
        <v>23.575902977608365</v>
      </c>
      <c r="X35" s="16">
        <f t="shared" si="43"/>
        <v>7.283884299853665</v>
      </c>
      <c r="Y35" s="16">
        <f t="shared" si="43"/>
        <v>22.396381721324492</v>
      </c>
      <c r="Z35" s="16">
        <f t="shared" si="43"/>
        <v>7.6628428700694551</v>
      </c>
      <c r="AA35" s="16">
        <f t="shared" si="43"/>
        <v>21.401904977482765</v>
      </c>
      <c r="AB35" s="16">
        <f t="shared" si="43"/>
        <v>8.0141715558264863</v>
      </c>
      <c r="AC35" s="16">
        <f t="shared" si="43"/>
        <v>20.551568428422826</v>
      </c>
      <c r="AD35" s="16">
        <f t="shared" si="43"/>
        <v>8.3409707100494117</v>
      </c>
      <c r="AE35" s="16">
        <f t="shared" si="43"/>
        <v>19.816179366469875</v>
      </c>
      <c r="AF35" s="16">
        <f t="shared" si="43"/>
        <v>8.6456900439659332</v>
      </c>
      <c r="AG35" s="16">
        <f t="shared" si="43"/>
        <v>19.174246748209967</v>
      </c>
      <c r="AH35" s="16">
        <f t="shared" si="43"/>
        <v>8.9303209817362266</v>
      </c>
      <c r="AI35" s="16">
        <f t="shared" si="43"/>
        <v>18.609534422449332</v>
      </c>
      <c r="AJ35" s="16">
        <f t="shared" si="43"/>
        <v>9.1965228551787135</v>
      </c>
      <c r="AK35" s="16">
        <f t="shared" si="43"/>
        <v>18.10950409720105</v>
      </c>
      <c r="AL35" s="16">
        <f t="shared" si="43"/>
        <v>9.4457084200927746</v>
      </c>
      <c r="AM35" s="16">
        <f t="shared" si="43"/>
        <v>17.664288913893103</v>
      </c>
      <c r="AN35" s="16">
        <f t="shared" si="43"/>
        <v>9.6791033387367342</v>
      </c>
      <c r="AO35" s="16">
        <f t="shared" si="43"/>
        <v>17.265996144836112</v>
      </c>
      <c r="AP35" s="16">
        <f t="shared" si="43"/>
        <v>9.8977884399954643</v>
      </c>
      <c r="AQ35" s="16">
        <f t="shared" si="43"/>
        <v>16.908221018454778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0.99379609828385651</v>
      </c>
      <c r="J36" s="22" t="e">
        <f t="shared" si="34"/>
        <v>#DIV/0!</v>
      </c>
      <c r="K36" s="22">
        <f t="shared" si="35"/>
        <v>1.7409226794341219</v>
      </c>
      <c r="L36" s="16">
        <f t="shared" si="7"/>
        <v>0.43523066985853048</v>
      </c>
      <c r="M36" s="16">
        <f t="shared" si="8"/>
        <v>1.0160924536573199</v>
      </c>
      <c r="N36" s="16">
        <f t="shared" si="15"/>
        <v>0.44223459924347319</v>
      </c>
      <c r="O36" s="16">
        <f t="shared" si="16"/>
        <v>0.23694000000000001</v>
      </c>
      <c r="P36" s="16">
        <f t="shared" si="9"/>
        <v>1.7133506632864464</v>
      </c>
      <c r="Q36" s="16">
        <f t="shared" si="10"/>
        <v>0.80552951985285925</v>
      </c>
      <c r="R36" s="16">
        <f t="shared" si="11"/>
        <v>0.84354854060648532</v>
      </c>
      <c r="S36" s="16">
        <f t="shared" si="12"/>
        <v>5.0500987635309236E-3</v>
      </c>
      <c r="T36" s="16">
        <f t="shared" si="13"/>
        <v>0.66</v>
      </c>
      <c r="U36" s="16"/>
      <c r="V36" s="16">
        <f t="shared" si="3"/>
        <v>5.0576605268299328</v>
      </c>
      <c r="W36" s="16">
        <f t="shared" ref="W36:AQ36" si="44">9.81/(2*PI())*$E$9^2*TANH(2*PI()*$H36/V36)</f>
        <v>23.528137494010206</v>
      </c>
      <c r="X36" s="16">
        <f t="shared" si="44"/>
        <v>5.3721816239059068</v>
      </c>
      <c r="Y36" s="16">
        <f t="shared" si="44"/>
        <v>22.304578373051555</v>
      </c>
      <c r="Z36" s="16">
        <f t="shared" si="44"/>
        <v>5.6649347204148741</v>
      </c>
      <c r="AA36" s="16">
        <f t="shared" si="44"/>
        <v>21.268260676170804</v>
      </c>
      <c r="AB36" s="16">
        <f t="shared" si="44"/>
        <v>5.9389530558296517</v>
      </c>
      <c r="AC36" s="16">
        <f t="shared" si="44"/>
        <v>20.377397364695486</v>
      </c>
      <c r="AD36" s="16">
        <f t="shared" si="44"/>
        <v>6.196528581717569</v>
      </c>
      <c r="AE36" s="16">
        <f t="shared" si="44"/>
        <v>19.602274258498678</v>
      </c>
      <c r="AF36" s="16">
        <f t="shared" si="44"/>
        <v>6.4394459046512678</v>
      </c>
      <c r="AG36" s="16">
        <f t="shared" si="44"/>
        <v>18.921091032343828</v>
      </c>
      <c r="AH36" s="16">
        <f t="shared" si="44"/>
        <v>6.6691298627524143</v>
      </c>
      <c r="AI36" s="16">
        <f t="shared" si="44"/>
        <v>18.317432028879871</v>
      </c>
      <c r="AJ36" s="16">
        <f t="shared" si="44"/>
        <v>6.8867427422113696</v>
      </c>
      <c r="AK36" s="16">
        <f t="shared" si="44"/>
        <v>17.778661282239806</v>
      </c>
      <c r="AL36" s="16">
        <f t="shared" si="44"/>
        <v>7.0932506211035742</v>
      </c>
      <c r="AM36" s="16">
        <f t="shared" si="44"/>
        <v>17.294866986658111</v>
      </c>
      <c r="AN36" s="16">
        <f t="shared" si="44"/>
        <v>7.2894699878128728</v>
      </c>
      <c r="AO36" s="16">
        <f t="shared" si="44"/>
        <v>16.858145872245856</v>
      </c>
      <c r="AP36" s="16">
        <f t="shared" si="44"/>
        <v>7.4761013106727106</v>
      </c>
      <c r="AQ36" s="16">
        <f t="shared" si="44"/>
        <v>16.462105133990626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0.99736042949396397</v>
      </c>
      <c r="J37" s="22" t="e">
        <f t="shared" si="34"/>
        <v>#DIV/0!</v>
      </c>
      <c r="K37" s="22">
        <f t="shared" si="35"/>
        <v>1.9793721276322642</v>
      </c>
      <c r="L37" s="16">
        <f t="shared" si="7"/>
        <v>0.49484303190806606</v>
      </c>
      <c r="M37" s="16">
        <f t="shared" si="8"/>
        <v>1.1000603937000986</v>
      </c>
      <c r="N37" s="16">
        <f t="shared" si="15"/>
        <v>0.54435722050053759</v>
      </c>
      <c r="O37" s="16">
        <f t="shared" si="16"/>
        <v>0.15113999999999977</v>
      </c>
      <c r="P37" s="16">
        <f t="shared" si="9"/>
        <v>1.7993304176460387</v>
      </c>
      <c r="Q37" s="16">
        <f t="shared" si="10"/>
        <v>0.74045135636084747</v>
      </c>
      <c r="R37" s="16">
        <f t="shared" si="11"/>
        <v>0.77539884716127883</v>
      </c>
      <c r="S37" s="16">
        <f t="shared" si="12"/>
        <v>5.1080287610507473E-3</v>
      </c>
      <c r="T37" s="16">
        <f t="shared" si="13"/>
        <v>0.66</v>
      </c>
      <c r="U37" s="16"/>
      <c r="V37" s="16">
        <f t="shared" si="3"/>
        <v>3.2313784500342417</v>
      </c>
      <c r="W37" s="16">
        <f t="shared" ref="W37:AQ37" si="45">9.81/(2*PI())*$E$9^2*TANH(2*PI()*$H37/V37)</f>
        <v>23.494966836356074</v>
      </c>
      <c r="X37" s="16">
        <f t="shared" si="45"/>
        <v>3.4378719651677416</v>
      </c>
      <c r="Y37" s="16">
        <f t="shared" si="45"/>
        <v>22.240641875559962</v>
      </c>
      <c r="Z37" s="16">
        <f t="shared" si="45"/>
        <v>3.63123509428529</v>
      </c>
      <c r="AA37" s="16">
        <f t="shared" si="45"/>
        <v>21.174881806757394</v>
      </c>
      <c r="AB37" s="16">
        <f t="shared" si="45"/>
        <v>3.8134520609390932</v>
      </c>
      <c r="AC37" s="16">
        <f t="shared" si="45"/>
        <v>20.255269013331166</v>
      </c>
      <c r="AD37" s="16">
        <f t="shared" si="45"/>
        <v>3.9860187574178441</v>
      </c>
      <c r="AE37" s="16">
        <f t="shared" si="45"/>
        <v>19.451709423391588</v>
      </c>
      <c r="AF37" s="16">
        <f t="shared" si="45"/>
        <v>4.1500958783849384</v>
      </c>
      <c r="AG37" s="16">
        <f t="shared" si="45"/>
        <v>18.742170060790134</v>
      </c>
      <c r="AH37" s="16">
        <f t="shared" si="45"/>
        <v>4.3066054082262717</v>
      </c>
      <c r="AI37" s="16">
        <f t="shared" si="45"/>
        <v>18.110092962867231</v>
      </c>
      <c r="AJ37" s="16">
        <f t="shared" si="45"/>
        <v>4.4562941688731099</v>
      </c>
      <c r="AK37" s="16">
        <f t="shared" si="45"/>
        <v>17.542757281620819</v>
      </c>
      <c r="AL37" s="16">
        <f t="shared" si="45"/>
        <v>4.5997772215581598</v>
      </c>
      <c r="AM37" s="16">
        <f t="shared" si="45"/>
        <v>17.030203874379705</v>
      </c>
      <c r="AN37" s="16">
        <f t="shared" si="45"/>
        <v>4.7375684228809885</v>
      </c>
      <c r="AO37" s="16">
        <f t="shared" si="45"/>
        <v>16.564507235184003</v>
      </c>
      <c r="AP37" s="16">
        <f t="shared" si="45"/>
        <v>4.8701024982497918</v>
      </c>
      <c r="AQ37" s="16">
        <f t="shared" si="45"/>
        <v>16.139269385615847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0.9968970595700305</v>
      </c>
      <c r="J38" s="22" t="e">
        <f t="shared" si="34"/>
        <v>#DIV/0!</v>
      </c>
      <c r="K38" s="22">
        <f t="shared" si="35"/>
        <v>2.1323231062485339</v>
      </c>
      <c r="L38" s="16">
        <f t="shared" si="7"/>
        <v>0.53308077656213348</v>
      </c>
      <c r="M38" s="16">
        <f t="shared" si="8"/>
        <v>1.0477747277817184</v>
      </c>
      <c r="N38" s="16">
        <f t="shared" si="15"/>
        <v>0.55854856554805643</v>
      </c>
      <c r="O38" s="16">
        <f t="shared" si="16"/>
        <v>0.16433999999999979</v>
      </c>
      <c r="P38" s="16">
        <f t="shared" si="9"/>
        <v>2.0350969055752586</v>
      </c>
      <c r="Q38" s="16">
        <f t="shared" si="10"/>
        <v>0.45295560111621802</v>
      </c>
      <c r="R38" s="16">
        <f t="shared" si="11"/>
        <v>0.47433399628968642</v>
      </c>
      <c r="S38" s="16">
        <f t="shared" si="12"/>
        <v>5.4806532166090695E-3</v>
      </c>
      <c r="T38" s="16">
        <f t="shared" si="13"/>
        <v>0.66</v>
      </c>
      <c r="U38" s="16"/>
      <c r="V38" s="16">
        <f t="shared" si="3"/>
        <v>3.5128889285799754</v>
      </c>
      <c r="W38" s="16">
        <f t="shared" ref="W38:AQ38" si="46">9.81/(2*PI())*$E$9^2*TANH(2*PI()*$H38/V38)</f>
        <v>23.499117592030657</v>
      </c>
      <c r="X38" s="16">
        <f t="shared" si="46"/>
        <v>3.7366144052693793</v>
      </c>
      <c r="Y38" s="16">
        <f t="shared" si="46"/>
        <v>22.248650743767424</v>
      </c>
      <c r="Z38" s="16">
        <f t="shared" si="46"/>
        <v>3.9459553293246525</v>
      </c>
      <c r="AA38" s="16">
        <f t="shared" si="46"/>
        <v>21.186592387304138</v>
      </c>
      <c r="AB38" s="16">
        <f t="shared" si="46"/>
        <v>4.1430611467361338</v>
      </c>
      <c r="AC38" s="16">
        <f t="shared" si="46"/>
        <v>20.270604740870734</v>
      </c>
      <c r="AD38" s="16">
        <f t="shared" si="46"/>
        <v>4.3295522738454926</v>
      </c>
      <c r="AE38" s="16">
        <f t="shared" si="46"/>
        <v>19.470642241477425</v>
      </c>
      <c r="AF38" s="16">
        <f t="shared" si="46"/>
        <v>4.5066860845371401</v>
      </c>
      <c r="AG38" s="16">
        <f t="shared" si="46"/>
        <v>18.764702039028975</v>
      </c>
      <c r="AH38" s="16">
        <f t="shared" si="46"/>
        <v>4.6754615184533401</v>
      </c>
      <c r="AI38" s="16">
        <f t="shared" si="46"/>
        <v>18.136245019702841</v>
      </c>
      <c r="AJ38" s="16">
        <f t="shared" si="46"/>
        <v>4.8366879861553729</v>
      </c>
      <c r="AK38" s="16">
        <f t="shared" si="46"/>
        <v>17.572562010805406</v>
      </c>
      <c r="AL38" s="16">
        <f t="shared" si="46"/>
        <v>4.9910324321559774</v>
      </c>
      <c r="AM38" s="16">
        <f t="shared" si="46"/>
        <v>17.063700843797154</v>
      </c>
      <c r="AN38" s="16">
        <f t="shared" si="46"/>
        <v>5.1390524675613021</v>
      </c>
      <c r="AO38" s="16">
        <f t="shared" si="46"/>
        <v>16.601739829580218</v>
      </c>
      <c r="AP38" s="16">
        <f t="shared" si="46"/>
        <v>5.2812203018835664</v>
      </c>
      <c r="AQ38" s="16">
        <f t="shared" si="46"/>
        <v>16.180282643652529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0.99531484228563993</v>
      </c>
      <c r="J39" s="22" t="e">
        <f t="shared" si="34"/>
        <v>#DIV/0!</v>
      </c>
      <c r="K39" s="22">
        <f t="shared" si="35"/>
        <v>2.1168064445935304</v>
      </c>
      <c r="L39" s="16">
        <f t="shared" si="7"/>
        <v>0.5292016111483826</v>
      </c>
      <c r="M39" s="16">
        <f t="shared" si="8"/>
        <v>1.0225142884941976</v>
      </c>
      <c r="N39" s="16">
        <f t="shared" si="15"/>
        <v>0.54111620889337142</v>
      </c>
      <c r="O39" s="16">
        <f t="shared" si="16"/>
        <v>0.20393999999999982</v>
      </c>
      <c r="P39" s="16">
        <f t="shared" si="9"/>
        <v>2.0701974225815842</v>
      </c>
      <c r="Q39" s="16">
        <f t="shared" si="10"/>
        <v>0.44211976751120707</v>
      </c>
      <c r="R39" s="16">
        <f t="shared" si="11"/>
        <v>0.4629867378733451</v>
      </c>
      <c r="S39" s="16">
        <f t="shared" si="12"/>
        <v>5.5006745864041688E-3</v>
      </c>
      <c r="T39" s="16">
        <f t="shared" si="13"/>
        <v>0.66</v>
      </c>
      <c r="U39" s="16"/>
      <c r="V39" s="16">
        <f t="shared" si="3"/>
        <v>4.3563033492023919</v>
      </c>
      <c r="W39" s="16">
        <f t="shared" ref="W39:AQ39" si="47">9.81/(2*PI())*$E$9^2*TANH(2*PI()*$H39/V39)</f>
        <v>23.513648840192548</v>
      </c>
      <c r="X39" s="16">
        <f t="shared" si="47"/>
        <v>4.6304645776279552</v>
      </c>
      <c r="Y39" s="16">
        <f t="shared" si="47"/>
        <v>22.276670060811519</v>
      </c>
      <c r="Z39" s="16">
        <f t="shared" si="47"/>
        <v>4.8863216129955589</v>
      </c>
      <c r="AA39" s="16">
        <f t="shared" si="47"/>
        <v>21.227531420706281</v>
      </c>
      <c r="AB39" s="16">
        <f t="shared" si="47"/>
        <v>5.1265106362507211</v>
      </c>
      <c r="AC39" s="16">
        <f t="shared" si="47"/>
        <v>20.324172475714828</v>
      </c>
      <c r="AD39" s="16">
        <f t="shared" si="47"/>
        <v>5.3530202634391708</v>
      </c>
      <c r="AE39" s="16">
        <f t="shared" si="47"/>
        <v>19.536715218602335</v>
      </c>
      <c r="AF39" s="16">
        <f t="shared" si="47"/>
        <v>5.5673952446623849</v>
      </c>
      <c r="AG39" s="16">
        <f t="shared" si="47"/>
        <v>18.843259887063045</v>
      </c>
      <c r="AH39" s="16">
        <f t="shared" si="47"/>
        <v>5.7708649176437286</v>
      </c>
      <c r="AI39" s="16">
        <f t="shared" si="47"/>
        <v>18.227330893041252</v>
      </c>
      <c r="AJ39" s="16">
        <f t="shared" si="47"/>
        <v>5.9644278406092788</v>
      </c>
      <c r="AK39" s="16">
        <f t="shared" si="47"/>
        <v>17.676257429155623</v>
      </c>
      <c r="AL39" s="16">
        <f t="shared" si="47"/>
        <v>6.1489095899358137</v>
      </c>
      <c r="AM39" s="16">
        <f t="shared" si="47"/>
        <v>17.180109220285082</v>
      </c>
      <c r="AN39" s="16">
        <f t="shared" si="47"/>
        <v>6.3250034277727174</v>
      </c>
      <c r="AO39" s="16">
        <f t="shared" si="47"/>
        <v>16.730975433420575</v>
      </c>
      <c r="AP39" s="16">
        <f t="shared" si="47"/>
        <v>6.4932996464956876</v>
      </c>
      <c r="AQ39" s="16">
        <f t="shared" si="47"/>
        <v>16.322463069650315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0.99314292536644011</v>
      </c>
      <c r="J40" s="22" t="e">
        <f t="shared" si="34"/>
        <v>#DIV/0!</v>
      </c>
      <c r="K40" s="22">
        <f t="shared" si="35"/>
        <v>2.0567445345511106</v>
      </c>
      <c r="L40" s="16">
        <f t="shared" si="7"/>
        <v>0.51418613363777765</v>
      </c>
      <c r="M40" s="16">
        <f t="shared" si="8"/>
        <v>1.0115459574329704</v>
      </c>
      <c r="N40" s="16">
        <f t="shared" si="15"/>
        <v>0.52012290484938306</v>
      </c>
      <c r="O40" s="16">
        <f t="shared" si="16"/>
        <v>0.25014000000000003</v>
      </c>
      <c r="P40" s="16">
        <f t="shared" si="9"/>
        <v>2.0332685029660649</v>
      </c>
      <c r="Q40" s="16">
        <f t="shared" si="10"/>
        <v>0.4954030773739565</v>
      </c>
      <c r="R40" s="16">
        <f t="shared" si="11"/>
        <v>0.51878488948126589</v>
      </c>
      <c r="S40" s="16">
        <f t="shared" si="12"/>
        <v>5.4080191650492356E-3</v>
      </c>
      <c r="T40" s="16">
        <f t="shared" si="13"/>
        <v>0.66</v>
      </c>
      <c r="U40" s="16"/>
      <c r="V40" s="16">
        <f t="shared" si="3"/>
        <v>5.3377718862470358</v>
      </c>
      <c r="W40" s="16">
        <f t="shared" ref="W40:AQ40" si="48">9.81/(2*PI())*$E$9^2*TANH(2*PI()*$H40/V40)</f>
        <v>23.534537760413802</v>
      </c>
      <c r="X40" s="16">
        <f t="shared" si="48"/>
        <v>5.6679555240337045</v>
      </c>
      <c r="Y40" s="16">
        <f t="shared" si="48"/>
        <v>22.316897519700877</v>
      </c>
      <c r="Z40" s="16">
        <f t="shared" si="48"/>
        <v>5.9749320999533158</v>
      </c>
      <c r="AA40" s="16">
        <f t="shared" si="48"/>
        <v>21.2862241117259</v>
      </c>
      <c r="AB40" s="16">
        <f t="shared" si="48"/>
        <v>6.2618921928263092</v>
      </c>
      <c r="AC40" s="16">
        <f t="shared" si="48"/>
        <v>20.400850353389064</v>
      </c>
      <c r="AD40" s="16">
        <f t="shared" si="48"/>
        <v>6.5312491438094522</v>
      </c>
      <c r="AE40" s="16">
        <f t="shared" si="48"/>
        <v>19.631133495552994</v>
      </c>
      <c r="AF40" s="16">
        <f t="shared" si="48"/>
        <v>6.7848847335242013</v>
      </c>
      <c r="AG40" s="16">
        <f t="shared" si="48"/>
        <v>18.955316184425076</v>
      </c>
      <c r="AH40" s="16">
        <f t="shared" si="48"/>
        <v>7.0243041684492953</v>
      </c>
      <c r="AI40" s="16">
        <f t="shared" si="48"/>
        <v>18.357008283775365</v>
      </c>
      <c r="AJ40" s="16">
        <f t="shared" si="48"/>
        <v>7.2507381559323649</v>
      </c>
      <c r="AK40" s="16">
        <f t="shared" si="48"/>
        <v>17.82358828619957</v>
      </c>
      <c r="AL40" s="16">
        <f t="shared" si="48"/>
        <v>7.4652125270990926</v>
      </c>
      <c r="AM40" s="16">
        <f t="shared" si="48"/>
        <v>17.345151649803256</v>
      </c>
      <c r="AN40" s="16">
        <f t="shared" si="48"/>
        <v>7.6685971172708696</v>
      </c>
      <c r="AO40" s="16">
        <f t="shared" si="48"/>
        <v>16.913797603385685</v>
      </c>
      <c r="AP40" s="16">
        <f t="shared" si="48"/>
        <v>7.86164092088584</v>
      </c>
      <c r="AQ40" s="16">
        <f t="shared" si="48"/>
        <v>16.523132650204584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0.99314292536644011</v>
      </c>
      <c r="J41" s="22" t="e">
        <f t="shared" si="34"/>
        <v>#DIV/0!</v>
      </c>
      <c r="K41" s="22">
        <f t="shared" si="35"/>
        <v>2.0804916193975322</v>
      </c>
      <c r="L41" s="16">
        <f t="shared" si="7"/>
        <v>0.52012290484938306</v>
      </c>
      <c r="M41" s="16">
        <f t="shared" si="8"/>
        <v>1.017245109301917</v>
      </c>
      <c r="N41" s="16">
        <f t="shared" si="15"/>
        <v>0.52909248119394126</v>
      </c>
      <c r="O41" s="16">
        <f t="shared" si="16"/>
        <v>0.25014000000000003</v>
      </c>
      <c r="P41" s="16">
        <f t="shared" si="9"/>
        <v>2.0452215502173972</v>
      </c>
      <c r="Q41" s="16">
        <f t="shared" si="10"/>
        <v>0.60763031173051685</v>
      </c>
      <c r="R41" s="16">
        <f t="shared" si="11"/>
        <v>0.6363089744770225</v>
      </c>
      <c r="S41" s="16">
        <f t="shared" si="12"/>
        <v>5.2505240084876371E-3</v>
      </c>
      <c r="T41" s="16">
        <f t="shared" si="13"/>
        <v>0.66</v>
      </c>
      <c r="U41" s="16"/>
      <c r="V41" s="16">
        <f t="shared" ref="V41:V72" si="50">9.81/(2*PI())*$E$9^2*TANH(2*PI()*$H41/I$4)</f>
        <v>5.3377718862470358</v>
      </c>
      <c r="W41" s="16">
        <f t="shared" ref="W41:AQ41" si="51">9.81/(2*PI())*$E$9^2*TANH(2*PI()*$H41/V41)</f>
        <v>23.534537760413802</v>
      </c>
      <c r="X41" s="16">
        <f t="shared" si="51"/>
        <v>5.6679555240337045</v>
      </c>
      <c r="Y41" s="16">
        <f t="shared" si="51"/>
        <v>22.316897519700877</v>
      </c>
      <c r="Z41" s="16">
        <f t="shared" si="51"/>
        <v>5.9749320999533158</v>
      </c>
      <c r="AA41" s="16">
        <f t="shared" si="51"/>
        <v>21.2862241117259</v>
      </c>
      <c r="AB41" s="16">
        <f t="shared" si="51"/>
        <v>6.2618921928263092</v>
      </c>
      <c r="AC41" s="16">
        <f t="shared" si="51"/>
        <v>20.400850353389064</v>
      </c>
      <c r="AD41" s="16">
        <f t="shared" si="51"/>
        <v>6.5312491438094522</v>
      </c>
      <c r="AE41" s="16">
        <f t="shared" si="51"/>
        <v>19.631133495552994</v>
      </c>
      <c r="AF41" s="16">
        <f t="shared" si="51"/>
        <v>6.7848847335242013</v>
      </c>
      <c r="AG41" s="16">
        <f t="shared" si="51"/>
        <v>18.955316184425076</v>
      </c>
      <c r="AH41" s="16">
        <f t="shared" si="51"/>
        <v>7.0243041684492953</v>
      </c>
      <c r="AI41" s="16">
        <f t="shared" si="51"/>
        <v>18.357008283775365</v>
      </c>
      <c r="AJ41" s="16">
        <f t="shared" si="51"/>
        <v>7.2507381559323649</v>
      </c>
      <c r="AK41" s="16">
        <f t="shared" si="51"/>
        <v>17.82358828619957</v>
      </c>
      <c r="AL41" s="16">
        <f t="shared" si="51"/>
        <v>7.4652125270990926</v>
      </c>
      <c r="AM41" s="16">
        <f t="shared" si="51"/>
        <v>17.345151649803256</v>
      </c>
      <c r="AN41" s="16">
        <f t="shared" si="51"/>
        <v>7.6685971172708696</v>
      </c>
      <c r="AO41" s="16">
        <f t="shared" si="51"/>
        <v>16.913797603385685</v>
      </c>
      <c r="AP41" s="16">
        <f t="shared" si="51"/>
        <v>7.86164092088584</v>
      </c>
      <c r="AQ41" s="16">
        <f t="shared" si="51"/>
        <v>16.523132650204584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0.9950248520981948</v>
      </c>
      <c r="J42" s="22" t="e">
        <f t="shared" si="34"/>
        <v>#DIV/0!</v>
      </c>
      <c r="K42" s="22">
        <f t="shared" si="35"/>
        <v>2.2095493859148605</v>
      </c>
      <c r="L42" s="16">
        <f t="shared" si="7"/>
        <v>0.55238734647871512</v>
      </c>
      <c r="M42" s="16">
        <f t="shared" ref="M42:M73" si="52">1/(1+((64*PI()^3)/(3*9.81^2))*((S42*L41*(A42-A41))/(H42^2))*((H42^2)/($E$9^4))*(((L42/L41)^2)/(SINH(2*PI()*H42/AQ41))^3))</f>
        <v>1.0276714226563328</v>
      </c>
      <c r="N42" s="16">
        <f t="shared" si="15"/>
        <v>0.56767269021313782</v>
      </c>
      <c r="O42" s="16">
        <f t="shared" si="16"/>
        <v>0.21053999999999998</v>
      </c>
      <c r="P42" s="16">
        <f t="shared" si="9"/>
        <v>2.1500543239818821</v>
      </c>
      <c r="Q42" s="16">
        <f t="shared" ref="Q42:Q73" si="53">($E$9*R42)/(2*PI())</f>
        <v>0.66231363211275374</v>
      </c>
      <c r="R42" s="16">
        <f t="shared" si="11"/>
        <v>0.69357321367260005</v>
      </c>
      <c r="S42" s="16">
        <f t="shared" si="12"/>
        <v>5.1872524083460998E-3</v>
      </c>
      <c r="T42" s="16">
        <f t="shared" si="13"/>
        <v>0.66</v>
      </c>
      <c r="U42" s="16"/>
      <c r="V42" s="16">
        <f t="shared" si="50"/>
        <v>4.4966911437987065</v>
      </c>
      <c r="W42" s="16">
        <f t="shared" ref="W42:AQ42" si="54">9.81/(2*PI())*$E$9^2*TANH(2*PI()*$H42/V42)</f>
        <v>23.516373654217197</v>
      </c>
      <c r="X42" s="16">
        <f t="shared" si="54"/>
        <v>4.7790545395902955</v>
      </c>
      <c r="Y42" s="16">
        <f t="shared" si="54"/>
        <v>22.281920847151408</v>
      </c>
      <c r="Z42" s="16">
        <f t="shared" si="54"/>
        <v>5.042435918393128</v>
      </c>
      <c r="AA42" s="16">
        <f t="shared" si="54"/>
        <v>21.235198015154822</v>
      </c>
      <c r="AB42" s="16">
        <f t="shared" si="54"/>
        <v>5.2895514046360708</v>
      </c>
      <c r="AC42" s="16">
        <f t="shared" si="54"/>
        <v>20.334196361454254</v>
      </c>
      <c r="AD42" s="16">
        <f t="shared" si="54"/>
        <v>5.5224504065689626</v>
      </c>
      <c r="AE42" s="16">
        <f t="shared" si="54"/>
        <v>19.549068925097682</v>
      </c>
      <c r="AF42" s="16">
        <f t="shared" si="54"/>
        <v>5.7427254589858236</v>
      </c>
      <c r="AG42" s="16">
        <f t="shared" si="54"/>
        <v>18.857934886614732</v>
      </c>
      <c r="AH42" s="16">
        <f t="shared" si="54"/>
        <v>5.9516445626916825</v>
      </c>
      <c r="AI42" s="16">
        <f t="shared" si="54"/>
        <v>18.244330173095943</v>
      </c>
      <c r="AJ42" s="16">
        <f t="shared" si="54"/>
        <v>6.1502383779705614</v>
      </c>
      <c r="AK42" s="16">
        <f t="shared" si="54"/>
        <v>17.695590771482056</v>
      </c>
      <c r="AL42" s="16">
        <f t="shared" si="54"/>
        <v>6.3393597657569565</v>
      </c>
      <c r="AM42" s="16">
        <f t="shared" si="54"/>
        <v>17.201790115351333</v>
      </c>
      <c r="AN42" s="16">
        <f t="shared" si="54"/>
        <v>6.5197256741575611</v>
      </c>
      <c r="AO42" s="16">
        <f t="shared" si="54"/>
        <v>16.755019019102736</v>
      </c>
      <c r="AP42" s="16">
        <f t="shared" si="54"/>
        <v>6.691947353244915</v>
      </c>
      <c r="AQ42" s="16">
        <f t="shared" si="54"/>
        <v>16.348884732077131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0.99818372442511061</v>
      </c>
      <c r="J43" s="22" t="e">
        <f t="shared" si="34"/>
        <v>#DIV/0!</v>
      </c>
      <c r="K43" s="22">
        <f t="shared" si="35"/>
        <v>2.5881545869725886</v>
      </c>
      <c r="L43" s="16">
        <f t="shared" si="7"/>
        <v>0.64703864674314715</v>
      </c>
      <c r="M43" s="16">
        <f t="shared" si="52"/>
        <v>1.1200655374238635</v>
      </c>
      <c r="N43" s="16">
        <f t="shared" si="15"/>
        <v>0.72472568959837247</v>
      </c>
      <c r="O43" s="16">
        <f t="shared" si="16"/>
        <v>0.12474000000000005</v>
      </c>
      <c r="P43" s="16">
        <f t="shared" si="9"/>
        <v>2.310717096898911</v>
      </c>
      <c r="Q43" s="16">
        <f t="shared" si="53"/>
        <v>0.72423516257431497</v>
      </c>
      <c r="R43" s="16">
        <f t="shared" si="11"/>
        <v>0.75841728873829251</v>
      </c>
      <c r="S43" s="16">
        <f t="shared" si="12"/>
        <v>5.1235265632499482E-3</v>
      </c>
      <c r="T43" s="16">
        <f t="shared" si="13"/>
        <v>0.66</v>
      </c>
      <c r="U43" s="16"/>
      <c r="V43" s="16">
        <f t="shared" si="50"/>
        <v>2.667883356732665</v>
      </c>
      <c r="W43" s="16">
        <f t="shared" ref="W43:AQ43" si="55">9.81/(2*PI())*$E$9^2*TANH(2*PI()*$H43/V43)</f>
        <v>23.487705806068824</v>
      </c>
      <c r="X43" s="16">
        <f t="shared" si="55"/>
        <v>2.8393758244222016</v>
      </c>
      <c r="Y43" s="16">
        <f t="shared" si="55"/>
        <v>22.226626036155675</v>
      </c>
      <c r="Z43" s="16">
        <f t="shared" si="55"/>
        <v>3.0001765188401648</v>
      </c>
      <c r="AA43" s="16">
        <f t="shared" si="55"/>
        <v>21.154378366900897</v>
      </c>
      <c r="AB43" s="16">
        <f t="shared" si="55"/>
        <v>3.1519345405602399</v>
      </c>
      <c r="AC43" s="16">
        <f t="shared" si="55"/>
        <v>20.228404833146428</v>
      </c>
      <c r="AD43" s="16">
        <f t="shared" si="55"/>
        <v>3.2958934660456261</v>
      </c>
      <c r="AE43" s="16">
        <f t="shared" si="55"/>
        <v>19.418525769568816</v>
      </c>
      <c r="AF43" s="16">
        <f t="shared" si="55"/>
        <v>3.4330184224862932</v>
      </c>
      <c r="AG43" s="16">
        <f t="shared" si="55"/>
        <v>18.702654719603203</v>
      </c>
      <c r="AH43" s="16">
        <f t="shared" si="55"/>
        <v>3.5640761244807155</v>
      </c>
      <c r="AI43" s="16">
        <f t="shared" si="55"/>
        <v>18.06419993138617</v>
      </c>
      <c r="AJ43" s="16">
        <f t="shared" si="55"/>
        <v>3.6896875732153904</v>
      </c>
      <c r="AK43" s="16">
        <f t="shared" si="55"/>
        <v>17.490419290104789</v>
      </c>
      <c r="AL43" s="16">
        <f t="shared" si="55"/>
        <v>3.8103640433038315</v>
      </c>
      <c r="AM43" s="16">
        <f t="shared" si="55"/>
        <v>16.971340593108685</v>
      </c>
      <c r="AN43" s="16">
        <f t="shared" si="55"/>
        <v>3.9265324174229961</v>
      </c>
      <c r="AO43" s="16">
        <f t="shared" si="55"/>
        <v>16.49903078889761</v>
      </c>
      <c r="AP43" s="16">
        <f t="shared" si="55"/>
        <v>4.0385534891414361</v>
      </c>
      <c r="AQ43" s="16">
        <f t="shared" si="55"/>
        <v>16.067088135965477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0.99949363966235483</v>
      </c>
      <c r="J44" s="22" t="e">
        <f t="shared" si="34"/>
        <v>#DIV/0!</v>
      </c>
      <c r="K44" s="22">
        <f t="shared" si="35"/>
        <v>3.407534800513798</v>
      </c>
      <c r="L44" s="16">
        <f t="shared" si="7"/>
        <v>0.85188370012844949</v>
      </c>
      <c r="M44" s="16">
        <f t="shared" si="52"/>
        <v>-0.86294295685708289</v>
      </c>
      <c r="N44" s="16">
        <f t="shared" si="15"/>
        <v>-0.73512703908719668</v>
      </c>
      <c r="O44" s="16">
        <f t="shared" si="16"/>
        <v>-0.73512703908719668</v>
      </c>
      <c r="P44" s="16">
        <f t="shared" si="9"/>
        <v>-3.9487370207230743</v>
      </c>
      <c r="Q44" s="16">
        <f t="shared" si="53"/>
        <v>0.59287622154395581</v>
      </c>
      <c r="R44" s="16">
        <f t="shared" si="11"/>
        <v>0.62085852736352209</v>
      </c>
      <c r="S44" s="16">
        <f t="shared" si="12"/>
        <v>5.2689111393590714E-3</v>
      </c>
      <c r="T44" s="16">
        <f t="shared" si="13"/>
        <v>-7.425525647345439</v>
      </c>
      <c r="U44" s="16"/>
      <c r="V44" s="16">
        <f t="shared" si="50"/>
        <v>1.3982250719666627</v>
      </c>
      <c r="W44" s="16">
        <f t="shared" ref="W44:AQ44" si="56">9.81/(2*PI())*$E$9^2*TANH(2*PI()*$H44/V44)</f>
        <v>23.476445573078749</v>
      </c>
      <c r="X44" s="16">
        <f t="shared" si="56"/>
        <v>1.488924733088423</v>
      </c>
      <c r="Y44" s="16">
        <f t="shared" si="56"/>
        <v>22.204876224120156</v>
      </c>
      <c r="Z44" s="16">
        <f t="shared" si="56"/>
        <v>1.5741451011456342</v>
      </c>
      <c r="AA44" s="16">
        <f t="shared" si="56"/>
        <v>21.122537209983815</v>
      </c>
      <c r="AB44" s="16">
        <f t="shared" si="56"/>
        <v>1.6547603221540137</v>
      </c>
      <c r="AC44" s="16">
        <f t="shared" si="56"/>
        <v>20.186651100809836</v>
      </c>
      <c r="AD44" s="16">
        <f t="shared" si="56"/>
        <v>1.7314302466332616</v>
      </c>
      <c r="AE44" s="16">
        <f t="shared" si="56"/>
        <v>19.36690354618775</v>
      </c>
      <c r="AF44" s="16">
        <f t="shared" si="56"/>
        <v>1.8046675538093149</v>
      </c>
      <c r="AG44" s="16">
        <f t="shared" si="56"/>
        <v>18.64112306781761</v>
      </c>
      <c r="AH44" s="16">
        <f t="shared" si="56"/>
        <v>1.87488000246035</v>
      </c>
      <c r="AI44" s="16">
        <f t="shared" si="56"/>
        <v>17.992663310223872</v>
      </c>
      <c r="AJ44" s="16">
        <f t="shared" si="56"/>
        <v>1.942398237645812</v>
      </c>
      <c r="AK44" s="16">
        <f t="shared" si="56"/>
        <v>17.408746878163761</v>
      </c>
      <c r="AL44" s="16">
        <f t="shared" si="56"/>
        <v>2.007494772945305</v>
      </c>
      <c r="AM44" s="16">
        <f t="shared" si="56"/>
        <v>16.87937894046852</v>
      </c>
      <c r="AN44" s="16">
        <f t="shared" si="56"/>
        <v>2.0703973510376099</v>
      </c>
      <c r="AO44" s="16">
        <f t="shared" si="56"/>
        <v>16.396612312615616</v>
      </c>
      <c r="AP44" s="16">
        <f t="shared" si="56"/>
        <v>2.1312985948785266</v>
      </c>
      <c r="AQ44" s="16">
        <f t="shared" si="56"/>
        <v>15.954036946221697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0.99938697137883536</v>
      </c>
      <c r="J45" s="22" t="e">
        <f t="shared" si="34"/>
        <v>#DIV/0!</v>
      </c>
      <c r="K45" s="22">
        <f t="shared" si="35"/>
        <v>-2.870612439863355</v>
      </c>
      <c r="L45" s="16">
        <f t="shared" si="7"/>
        <v>-0.71765310996583875</v>
      </c>
      <c r="M45" s="16" t="e">
        <f t="shared" si="52"/>
        <v>#NUM!</v>
      </c>
      <c r="N45" s="16" t="e">
        <f t="shared" si="15"/>
        <v>#NUM!</v>
      </c>
      <c r="O45" s="16" t="e">
        <f t="shared" si="16"/>
        <v>#NUM!</v>
      </c>
      <c r="P45" s="16" t="e">
        <f t="shared" si="9"/>
        <v>#NUM!</v>
      </c>
      <c r="Q45" s="16">
        <f t="shared" si="53"/>
        <v>-3.3298528206566749</v>
      </c>
      <c r="R45" s="16">
        <f t="shared" si="11"/>
        <v>-3.4870137196367534</v>
      </c>
      <c r="S45" s="16" t="e">
        <f t="shared" si="12"/>
        <v>#NUM!</v>
      </c>
      <c r="T45" s="16" t="e">
        <f t="shared" si="13"/>
        <v>#NUM!</v>
      </c>
      <c r="U45" s="16"/>
      <c r="V45" s="16">
        <f t="shared" si="50"/>
        <v>1.5393925305114105</v>
      </c>
      <c r="W45" s="16">
        <f t="shared" ref="W45:AQ45" si="57">9.81/(2*PI())*$E$9^2*TANH(2*PI()*$H45/V45)</f>
        <v>23.477349346991737</v>
      </c>
      <c r="X45" s="16">
        <f t="shared" si="57"/>
        <v>1.6391767202154703</v>
      </c>
      <c r="Y45" s="16">
        <f t="shared" si="57"/>
        <v>22.206622563408047</v>
      </c>
      <c r="Z45" s="16">
        <f t="shared" si="57"/>
        <v>1.7329172820438321</v>
      </c>
      <c r="AA45" s="16">
        <f t="shared" si="57"/>
        <v>21.125094878598908</v>
      </c>
      <c r="AB45" s="16">
        <f t="shared" si="57"/>
        <v>1.8215756951289392</v>
      </c>
      <c r="AC45" s="16">
        <f t="shared" si="57"/>
        <v>20.190006561622926</v>
      </c>
      <c r="AD45" s="16">
        <f t="shared" si="57"/>
        <v>1.9058776553111338</v>
      </c>
      <c r="AE45" s="16">
        <f t="shared" si="57"/>
        <v>19.371054163141416</v>
      </c>
      <c r="AF45" s="16">
        <f t="shared" si="57"/>
        <v>1.9863869297683898</v>
      </c>
      <c r="AG45" s="16">
        <f t="shared" si="57"/>
        <v>18.646073126849821</v>
      </c>
      <c r="AH45" s="16">
        <f t="shared" si="57"/>
        <v>2.0635518466037515</v>
      </c>
      <c r="AI45" s="16">
        <f t="shared" si="57"/>
        <v>17.998421584147831</v>
      </c>
      <c r="AJ45" s="16">
        <f t="shared" si="57"/>
        <v>2.1377358923651713</v>
      </c>
      <c r="AK45" s="16">
        <f t="shared" si="57"/>
        <v>17.415325081159029</v>
      </c>
      <c r="AL45" s="16">
        <f t="shared" si="57"/>
        <v>2.2092385999795434</v>
      </c>
      <c r="AM45" s="16">
        <f t="shared" si="57"/>
        <v>16.886790717176954</v>
      </c>
      <c r="AN45" s="16">
        <f t="shared" si="57"/>
        <v>2.2783102509302755</v>
      </c>
      <c r="AO45" s="16">
        <f t="shared" si="57"/>
        <v>16.404872560094589</v>
      </c>
      <c r="AP45" s="16">
        <f t="shared" si="57"/>
        <v>2.3451624956908828</v>
      </c>
      <c r="AQ45" s="16">
        <f t="shared" si="57"/>
        <v>15.96316134949922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0.99949363966235483</v>
      </c>
      <c r="J46" s="22" t="e">
        <f t="shared" si="34"/>
        <v>#NUM!</v>
      </c>
      <c r="K46" s="22" t="e">
        <f t="shared" si="35"/>
        <v>#NUM!</v>
      </c>
      <c r="L46" s="16" t="e">
        <f t="shared" si="7"/>
        <v>#NUM!</v>
      </c>
      <c r="M46" s="16" t="e">
        <f t="shared" si="52"/>
        <v>#NUM!</v>
      </c>
      <c r="N46" s="16" t="e">
        <f t="shared" si="15"/>
        <v>#NUM!</v>
      </c>
      <c r="O46" s="16" t="e">
        <f t="shared" si="16"/>
        <v>#NUM!</v>
      </c>
      <c r="P46" s="16" t="e">
        <f t="shared" si="9"/>
        <v>#NUM!</v>
      </c>
      <c r="Q46" s="16" t="e">
        <f t="shared" si="53"/>
        <v>#NUM!</v>
      </c>
      <c r="R46" s="16" t="e">
        <f t="shared" si="11"/>
        <v>#NUM!</v>
      </c>
      <c r="S46" s="16" t="e">
        <f t="shared" si="12"/>
        <v>#NUM!</v>
      </c>
      <c r="T46" s="16" t="e">
        <f t="shared" si="13"/>
        <v>#NUM!</v>
      </c>
      <c r="U46" s="16"/>
      <c r="V46" s="16">
        <f t="shared" si="50"/>
        <v>1.3982250719666627</v>
      </c>
      <c r="W46" s="16">
        <f t="shared" ref="W46:AQ46" si="58">9.81/(2*PI())*$E$9^2*TANH(2*PI()*$H46/V46)</f>
        <v>23.476445573078749</v>
      </c>
      <c r="X46" s="16">
        <f t="shared" si="58"/>
        <v>1.488924733088423</v>
      </c>
      <c r="Y46" s="16">
        <f t="shared" si="58"/>
        <v>22.204876224120156</v>
      </c>
      <c r="Z46" s="16">
        <f t="shared" si="58"/>
        <v>1.5741451011456342</v>
      </c>
      <c r="AA46" s="16">
        <f t="shared" si="58"/>
        <v>21.122537209983815</v>
      </c>
      <c r="AB46" s="16">
        <f t="shared" si="58"/>
        <v>1.6547603221540137</v>
      </c>
      <c r="AC46" s="16">
        <f t="shared" si="58"/>
        <v>20.186651100809836</v>
      </c>
      <c r="AD46" s="16">
        <f t="shared" si="58"/>
        <v>1.7314302466332616</v>
      </c>
      <c r="AE46" s="16">
        <f t="shared" si="58"/>
        <v>19.36690354618775</v>
      </c>
      <c r="AF46" s="16">
        <f t="shared" si="58"/>
        <v>1.8046675538093149</v>
      </c>
      <c r="AG46" s="16">
        <f t="shared" si="58"/>
        <v>18.64112306781761</v>
      </c>
      <c r="AH46" s="16">
        <f t="shared" si="58"/>
        <v>1.87488000246035</v>
      </c>
      <c r="AI46" s="16">
        <f t="shared" si="58"/>
        <v>17.992663310223872</v>
      </c>
      <c r="AJ46" s="16">
        <f t="shared" si="58"/>
        <v>1.942398237645812</v>
      </c>
      <c r="AK46" s="16">
        <f t="shared" si="58"/>
        <v>17.408746878163761</v>
      </c>
      <c r="AL46" s="16">
        <f t="shared" si="58"/>
        <v>2.007494772945305</v>
      </c>
      <c r="AM46" s="16">
        <f t="shared" si="58"/>
        <v>16.87937894046852</v>
      </c>
      <c r="AN46" s="16">
        <f t="shared" si="58"/>
        <v>2.0703973510376099</v>
      </c>
      <c r="AO46" s="16">
        <f t="shared" si="58"/>
        <v>16.396612312615616</v>
      </c>
      <c r="AP46" s="16">
        <f t="shared" si="58"/>
        <v>2.1312985948785266</v>
      </c>
      <c r="AQ46" s="16">
        <f t="shared" si="58"/>
        <v>15.954036946221697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0.99987538024599765</v>
      </c>
      <c r="J47" s="22" t="e">
        <f t="shared" si="34"/>
        <v>#NUM!</v>
      </c>
      <c r="K47" s="22" t="e">
        <f t="shared" si="35"/>
        <v>#NUM!</v>
      </c>
      <c r="L47" s="16" t="e">
        <f t="shared" si="7"/>
        <v>#NUM!</v>
      </c>
      <c r="M47" s="16" t="e">
        <f t="shared" si="52"/>
        <v>#NUM!</v>
      </c>
      <c r="N47" s="16" t="e">
        <f t="shared" si="15"/>
        <v>#NUM!</v>
      </c>
      <c r="O47" s="16" t="e">
        <f t="shared" si="16"/>
        <v>#NUM!</v>
      </c>
      <c r="P47" s="16" t="e">
        <f t="shared" si="9"/>
        <v>#NUM!</v>
      </c>
      <c r="Q47" s="16" t="e">
        <f t="shared" si="53"/>
        <v>#NUM!</v>
      </c>
      <c r="R47" s="16" t="e">
        <f t="shared" si="11"/>
        <v>#NUM!</v>
      </c>
      <c r="S47" s="16" t="e">
        <f t="shared" si="12"/>
        <v>#NUM!</v>
      </c>
      <c r="T47" s="16" t="e">
        <f t="shared" si="13"/>
        <v>#NUM!</v>
      </c>
      <c r="U47" s="16"/>
      <c r="V47" s="16">
        <f t="shared" si="50"/>
        <v>0.69215860936218709</v>
      </c>
      <c r="W47" s="16">
        <f t="shared" ref="W47:AQ47" si="59">9.81/(2*PI())*$E$9^2*TANH(2*PI()*$H47/V47)</f>
        <v>23.473229976002909</v>
      </c>
      <c r="X47" s="16">
        <f t="shared" si="59"/>
        <v>0.73717369804629063</v>
      </c>
      <c r="Y47" s="16">
        <f t="shared" si="59"/>
        <v>22.198661892923692</v>
      </c>
      <c r="Z47" s="16">
        <f t="shared" si="59"/>
        <v>0.77949430576277712</v>
      </c>
      <c r="AA47" s="16">
        <f t="shared" si="59"/>
        <v>21.11343424936079</v>
      </c>
      <c r="AB47" s="16">
        <f t="shared" si="59"/>
        <v>0.81955466663863696</v>
      </c>
      <c r="AC47" s="16">
        <f t="shared" si="59"/>
        <v>20.174706521095729</v>
      </c>
      <c r="AD47" s="16">
        <f t="shared" si="59"/>
        <v>0.85768270154199311</v>
      </c>
      <c r="AE47" s="16">
        <f t="shared" si="59"/>
        <v>19.352125439336806</v>
      </c>
      <c r="AF47" s="16">
        <f t="shared" si="59"/>
        <v>0.894133321027755</v>
      </c>
      <c r="AG47" s="16">
        <f t="shared" si="59"/>
        <v>18.623494753803627</v>
      </c>
      <c r="AH47" s="16">
        <f t="shared" si="59"/>
        <v>0.92910938396807818</v>
      </c>
      <c r="AI47" s="16">
        <f t="shared" si="59"/>
        <v>17.972151990971071</v>
      </c>
      <c r="AJ47" s="16">
        <f t="shared" si="59"/>
        <v>0.96277548937611901</v>
      </c>
      <c r="AK47" s="16">
        <f t="shared" si="59"/>
        <v>17.385309127395679</v>
      </c>
      <c r="AL47" s="16">
        <f t="shared" si="59"/>
        <v>0.99526739051012059</v>
      </c>
      <c r="AM47" s="16">
        <f t="shared" si="59"/>
        <v>16.852964292507671</v>
      </c>
      <c r="AN47" s="16">
        <f t="shared" si="59"/>
        <v>1.02669862052799</v>
      </c>
      <c r="AO47" s="16">
        <f t="shared" si="59"/>
        <v>16.367165667799679</v>
      </c>
      <c r="AP47" s="16">
        <f t="shared" si="59"/>
        <v>1.0571652784097181</v>
      </c>
      <c r="AQ47" s="16">
        <f t="shared" si="59"/>
        <v>15.921500217103397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#NUM!</v>
      </c>
      <c r="M48" s="16" t="e">
        <f t="shared" si="52"/>
        <v>#NUM!</v>
      </c>
      <c r="N48" s="16" t="e">
        <f t="shared" si="15"/>
        <v>#NUM!</v>
      </c>
      <c r="O48" s="16" t="e">
        <f t="shared" si="16"/>
        <v>#NUM!</v>
      </c>
      <c r="P48" s="16" t="e">
        <f t="shared" si="9"/>
        <v>#VALUE!</v>
      </c>
      <c r="Q48" s="16" t="e">
        <f t="shared" si="53"/>
        <v>#NUM!</v>
      </c>
      <c r="R48" s="16" t="e">
        <f t="shared" si="11"/>
        <v>#NUM!</v>
      </c>
      <c r="S48" s="16" t="e">
        <f t="shared" si="12"/>
        <v>#NUM!</v>
      </c>
      <c r="T48" s="16" t="e">
        <f t="shared" si="13"/>
        <v>#NUM!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0.99999578972019976</v>
      </c>
      <c r="J49" s="22" t="e">
        <f t="shared" si="34"/>
        <v>#NUM!</v>
      </c>
      <c r="K49" s="22" t="e">
        <f t="shared" si="35"/>
        <v>#NUM!</v>
      </c>
      <c r="L49" s="16" t="e">
        <f t="shared" si="7"/>
        <v>#NUM!</v>
      </c>
      <c r="M49" s="16" t="e">
        <f t="shared" si="52"/>
        <v>#NUM!</v>
      </c>
      <c r="N49" s="16" t="e">
        <f t="shared" si="15"/>
        <v>#NUM!</v>
      </c>
      <c r="O49" s="16" t="e">
        <f t="shared" si="16"/>
        <v>#NUM!</v>
      </c>
      <c r="P49" s="16" t="e">
        <f t="shared" si="9"/>
        <v>#NUM!</v>
      </c>
      <c r="Q49" s="16" t="e">
        <f t="shared" si="53"/>
        <v>#NUM!</v>
      </c>
      <c r="R49" s="16" t="e">
        <f t="shared" si="11"/>
        <v>#NUM!</v>
      </c>
      <c r="S49" s="16" t="e">
        <f t="shared" si="12"/>
        <v>#NUM!</v>
      </c>
      <c r="T49" s="16" t="e">
        <f t="shared" si="13"/>
        <v>#NUM!</v>
      </c>
      <c r="U49" s="16"/>
      <c r="V49" s="16">
        <f t="shared" si="50"/>
        <v>0.1271373831713799</v>
      </c>
      <c r="W49" s="16">
        <f t="shared" ref="W49:AQ49" si="61">9.81/(2*PI())*$E$9^2*TANH(2*PI()*$H49/V49)</f>
        <v>23.472221763276607</v>
      </c>
      <c r="X49" s="16">
        <f t="shared" si="61"/>
        <v>0.13541256906657348</v>
      </c>
      <c r="Y49" s="16">
        <f t="shared" si="61"/>
        <v>22.19671316808083</v>
      </c>
      <c r="Z49" s="16">
        <f t="shared" si="61"/>
        <v>0.14319386386465521</v>
      </c>
      <c r="AA49" s="16">
        <f t="shared" si="61"/>
        <v>21.110579202287621</v>
      </c>
      <c r="AB49" s="16">
        <f t="shared" si="61"/>
        <v>0.15056111759897126</v>
      </c>
      <c r="AC49" s="16">
        <f t="shared" si="61"/>
        <v>20.170959519538162</v>
      </c>
      <c r="AD49" s="16">
        <f t="shared" si="61"/>
        <v>0.15757463942294153</v>
      </c>
      <c r="AE49" s="16">
        <f t="shared" si="61"/>
        <v>19.347488605497773</v>
      </c>
      <c r="AF49" s="16">
        <f t="shared" si="61"/>
        <v>0.16428131909066379</v>
      </c>
      <c r="AG49" s="16">
        <f t="shared" si="61"/>
        <v>18.617962396113601</v>
      </c>
      <c r="AH49" s="16">
        <f t="shared" si="61"/>
        <v>0.17071847919724539</v>
      </c>
      <c r="AI49" s="16">
        <f t="shared" si="61"/>
        <v>17.965713314022494</v>
      </c>
      <c r="AJ49" s="16">
        <f t="shared" si="61"/>
        <v>0.17691641004658901</v>
      </c>
      <c r="AK49" s="16">
        <f t="shared" si="61"/>
        <v>17.37794995015911</v>
      </c>
      <c r="AL49" s="16">
        <f t="shared" si="61"/>
        <v>0.18290009986894906</v>
      </c>
      <c r="AM49" s="16">
        <f t="shared" si="61"/>
        <v>16.844668170821443</v>
      </c>
      <c r="AN49" s="16">
        <f t="shared" si="61"/>
        <v>0.18869045252741096</v>
      </c>
      <c r="AO49" s="16">
        <f t="shared" si="61"/>
        <v>16.357914646093342</v>
      </c>
      <c r="AP49" s="16">
        <f t="shared" si="61"/>
        <v>0.19430516709671508</v>
      </c>
      <c r="AQ49" s="16">
        <f t="shared" si="61"/>
        <v>15.911275342309613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0.99999578972019976</v>
      </c>
      <c r="J50" s="22" t="e">
        <f t="shared" si="34"/>
        <v>#NUM!</v>
      </c>
      <c r="K50" s="22" t="e">
        <f t="shared" si="35"/>
        <v>#NUM!</v>
      </c>
      <c r="L50" s="16" t="e">
        <f t="shared" si="7"/>
        <v>#NUM!</v>
      </c>
      <c r="M50" s="16" t="e">
        <f t="shared" si="52"/>
        <v>#NUM!</v>
      </c>
      <c r="N50" s="16" t="e">
        <f t="shared" si="15"/>
        <v>#NUM!</v>
      </c>
      <c r="O50" s="16" t="e">
        <f t="shared" si="16"/>
        <v>#NUM!</v>
      </c>
      <c r="P50" s="16" t="e">
        <f t="shared" si="9"/>
        <v>#NUM!</v>
      </c>
      <c r="Q50" s="16" t="e">
        <f t="shared" si="53"/>
        <v>#NUM!</v>
      </c>
      <c r="R50" s="16" t="e">
        <f t="shared" si="11"/>
        <v>#NUM!</v>
      </c>
      <c r="S50" s="16" t="e">
        <f t="shared" si="12"/>
        <v>#NUM!</v>
      </c>
      <c r="T50" s="16" t="e">
        <f t="shared" si="13"/>
        <v>#NUM!</v>
      </c>
      <c r="U50" s="16"/>
      <c r="V50" s="16">
        <f t="shared" si="50"/>
        <v>0.1271373831713799</v>
      </c>
      <c r="W50" s="16">
        <f t="shared" ref="W50:AQ50" si="62">9.81/(2*PI())*$E$9^2*TANH(2*PI()*$H50/V50)</f>
        <v>23.472221763276607</v>
      </c>
      <c r="X50" s="16">
        <f t="shared" si="62"/>
        <v>0.13541256906657348</v>
      </c>
      <c r="Y50" s="16">
        <f t="shared" si="62"/>
        <v>22.19671316808083</v>
      </c>
      <c r="Z50" s="16">
        <f t="shared" si="62"/>
        <v>0.14319386386465521</v>
      </c>
      <c r="AA50" s="16">
        <f t="shared" si="62"/>
        <v>21.110579202287621</v>
      </c>
      <c r="AB50" s="16">
        <f t="shared" si="62"/>
        <v>0.15056111759897126</v>
      </c>
      <c r="AC50" s="16">
        <f t="shared" si="62"/>
        <v>20.170959519538162</v>
      </c>
      <c r="AD50" s="16">
        <f t="shared" si="62"/>
        <v>0.15757463942294153</v>
      </c>
      <c r="AE50" s="16">
        <f t="shared" si="62"/>
        <v>19.347488605497773</v>
      </c>
      <c r="AF50" s="16">
        <f t="shared" si="62"/>
        <v>0.16428131909066379</v>
      </c>
      <c r="AG50" s="16">
        <f t="shared" si="62"/>
        <v>18.617962396113601</v>
      </c>
      <c r="AH50" s="16">
        <f t="shared" si="62"/>
        <v>0.17071847919724539</v>
      </c>
      <c r="AI50" s="16">
        <f t="shared" si="62"/>
        <v>17.965713314022494</v>
      </c>
      <c r="AJ50" s="16">
        <f t="shared" si="62"/>
        <v>0.17691641004658901</v>
      </c>
      <c r="AK50" s="16">
        <f t="shared" si="62"/>
        <v>17.37794995015911</v>
      </c>
      <c r="AL50" s="16">
        <f t="shared" si="62"/>
        <v>0.18290009986894906</v>
      </c>
      <c r="AM50" s="16">
        <f t="shared" si="62"/>
        <v>16.844668170821443</v>
      </c>
      <c r="AN50" s="16">
        <f t="shared" si="62"/>
        <v>0.18869045252741096</v>
      </c>
      <c r="AO50" s="16">
        <f t="shared" si="62"/>
        <v>16.357914646093342</v>
      </c>
      <c r="AP50" s="16">
        <f t="shared" si="62"/>
        <v>0.19430516709671508</v>
      </c>
      <c r="AQ50" s="16">
        <f t="shared" si="62"/>
        <v>15.911275342309613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#NUM!</v>
      </c>
      <c r="M51" s="16" t="e">
        <f t="shared" si="52"/>
        <v>#NUM!</v>
      </c>
      <c r="N51" s="16" t="e">
        <f t="shared" si="15"/>
        <v>#NUM!</v>
      </c>
      <c r="O51" s="16" t="e">
        <f t="shared" si="16"/>
        <v>#NUM!</v>
      </c>
      <c r="P51" s="16" t="e">
        <f t="shared" si="9"/>
        <v>#VALUE!</v>
      </c>
      <c r="Q51" s="16" t="e">
        <f t="shared" si="53"/>
        <v>#NUM!</v>
      </c>
      <c r="R51" s="16" t="e">
        <f t="shared" si="11"/>
        <v>#NUM!</v>
      </c>
      <c r="S51" s="16" t="e">
        <f t="shared" si="12"/>
        <v>#NUM!</v>
      </c>
      <c r="T51" s="16" t="e">
        <f t="shared" si="13"/>
        <v>#NUM!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#NUM!</v>
      </c>
      <c r="M52" s="16" t="e">
        <f t="shared" si="52"/>
        <v>#NUM!</v>
      </c>
      <c r="N52" s="16" t="e">
        <f t="shared" si="15"/>
        <v>#NUM!</v>
      </c>
      <c r="O52" s="16" t="e">
        <f t="shared" si="16"/>
        <v>#NUM!</v>
      </c>
      <c r="P52" s="16" t="e">
        <f t="shared" si="9"/>
        <v>#VALUE!</v>
      </c>
      <c r="Q52" s="16" t="e">
        <f t="shared" si="53"/>
        <v>#NUM!</v>
      </c>
      <c r="R52" s="16" t="e">
        <f t="shared" si="11"/>
        <v>#NUM!</v>
      </c>
      <c r="S52" s="16" t="e">
        <f t="shared" si="12"/>
        <v>#NUM!</v>
      </c>
      <c r="T52" s="16" t="e">
        <f t="shared" si="13"/>
        <v>#NUM!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#NUM!</v>
      </c>
      <c r="M53" s="16" t="e">
        <f t="shared" si="52"/>
        <v>#NUM!</v>
      </c>
      <c r="N53" s="16" t="e">
        <f t="shared" si="15"/>
        <v>#NUM!</v>
      </c>
      <c r="O53" s="16" t="e">
        <f t="shared" si="16"/>
        <v>#NUM!</v>
      </c>
      <c r="P53" s="16" t="e">
        <f t="shared" si="9"/>
        <v>#VALUE!</v>
      </c>
      <c r="Q53" s="16" t="e">
        <f t="shared" si="53"/>
        <v>#NUM!</v>
      </c>
      <c r="R53" s="16" t="e">
        <f t="shared" si="11"/>
        <v>#NUM!</v>
      </c>
      <c r="S53" s="16" t="e">
        <f t="shared" si="12"/>
        <v>#NUM!</v>
      </c>
      <c r="T53" s="16" t="e">
        <f t="shared" si="13"/>
        <v>#NUM!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#NUM!</v>
      </c>
      <c r="M54" s="16" t="e">
        <f t="shared" si="52"/>
        <v>#NUM!</v>
      </c>
      <c r="N54" s="16" t="e">
        <f t="shared" si="15"/>
        <v>#NUM!</v>
      </c>
      <c r="O54" s="16" t="e">
        <f t="shared" si="16"/>
        <v>#NUM!</v>
      </c>
      <c r="P54" s="16" t="e">
        <f t="shared" si="9"/>
        <v>#VALUE!</v>
      </c>
      <c r="Q54" s="16" t="e">
        <f t="shared" si="53"/>
        <v>#NUM!</v>
      </c>
      <c r="R54" s="16" t="e">
        <f t="shared" si="11"/>
        <v>#NUM!</v>
      </c>
      <c r="S54" s="16" t="e">
        <f t="shared" si="12"/>
        <v>#NUM!</v>
      </c>
      <c r="T54" s="16" t="e">
        <f t="shared" si="13"/>
        <v>#NUM!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#NUM!</v>
      </c>
      <c r="M55" s="16" t="e">
        <f t="shared" si="52"/>
        <v>#NUM!</v>
      </c>
      <c r="N55" s="16" t="e">
        <f t="shared" si="15"/>
        <v>#NUM!</v>
      </c>
      <c r="O55" s="16" t="e">
        <f t="shared" si="16"/>
        <v>#NUM!</v>
      </c>
      <c r="P55" s="16" t="e">
        <f t="shared" si="9"/>
        <v>#VALUE!</v>
      </c>
      <c r="Q55" s="16" t="e">
        <f t="shared" si="53"/>
        <v>#NUM!</v>
      </c>
      <c r="R55" s="16" t="e">
        <f t="shared" si="11"/>
        <v>#NUM!</v>
      </c>
      <c r="S55" s="16" t="e">
        <f t="shared" si="12"/>
        <v>#NUM!</v>
      </c>
      <c r="T55" s="16" t="e">
        <f t="shared" si="13"/>
        <v>#NUM!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#NUM!</v>
      </c>
      <c r="M56" s="16" t="e">
        <f t="shared" si="52"/>
        <v>#NUM!</v>
      </c>
      <c r="N56" s="16" t="e">
        <f t="shared" si="15"/>
        <v>#NUM!</v>
      </c>
      <c r="O56" s="16" t="e">
        <f t="shared" si="16"/>
        <v>#NUM!</v>
      </c>
      <c r="P56" s="16" t="e">
        <f t="shared" si="9"/>
        <v>#VALUE!</v>
      </c>
      <c r="Q56" s="16" t="e">
        <f t="shared" si="53"/>
        <v>#NUM!</v>
      </c>
      <c r="R56" s="16" t="e">
        <f t="shared" si="11"/>
        <v>#NUM!</v>
      </c>
      <c r="S56" s="16" t="e">
        <f t="shared" si="12"/>
        <v>#NUM!</v>
      </c>
      <c r="T56" s="16" t="e">
        <f t="shared" si="13"/>
        <v>#NUM!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#NUM!</v>
      </c>
      <c r="M57" s="16" t="e">
        <f t="shared" si="52"/>
        <v>#NUM!</v>
      </c>
      <c r="N57" s="16" t="e">
        <f t="shared" si="15"/>
        <v>#NUM!</v>
      </c>
      <c r="O57" s="16" t="e">
        <f t="shared" si="16"/>
        <v>#NUM!</v>
      </c>
      <c r="P57" s="16" t="e">
        <f t="shared" si="9"/>
        <v>#VALUE!</v>
      </c>
      <c r="Q57" s="16" t="e">
        <f t="shared" si="53"/>
        <v>#NUM!</v>
      </c>
      <c r="R57" s="16" t="e">
        <f t="shared" si="11"/>
        <v>#NUM!</v>
      </c>
      <c r="S57" s="16" t="e">
        <f t="shared" si="12"/>
        <v>#NUM!</v>
      </c>
      <c r="T57" s="16" t="e">
        <f t="shared" si="13"/>
        <v>#NUM!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#NUM!</v>
      </c>
      <c r="M58" s="16" t="e">
        <f t="shared" si="52"/>
        <v>#NUM!</v>
      </c>
      <c r="N58" s="16" t="e">
        <f t="shared" si="15"/>
        <v>#NUM!</v>
      </c>
      <c r="O58" s="16" t="e">
        <f t="shared" si="16"/>
        <v>#NUM!</v>
      </c>
      <c r="P58" s="16" t="e">
        <f t="shared" si="9"/>
        <v>#VALUE!</v>
      </c>
      <c r="Q58" s="16" t="e">
        <f t="shared" si="53"/>
        <v>#NUM!</v>
      </c>
      <c r="R58" s="16" t="e">
        <f t="shared" si="11"/>
        <v>#NUM!</v>
      </c>
      <c r="S58" s="16" t="e">
        <f t="shared" si="12"/>
        <v>#NUM!</v>
      </c>
      <c r="T58" s="16" t="e">
        <f t="shared" si="13"/>
        <v>#NUM!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#NUM!</v>
      </c>
      <c r="M59" s="16" t="e">
        <f t="shared" si="52"/>
        <v>#NUM!</v>
      </c>
      <c r="N59" s="16" t="e">
        <f t="shared" si="15"/>
        <v>#NUM!</v>
      </c>
      <c r="O59" s="16" t="e">
        <f t="shared" si="16"/>
        <v>#NUM!</v>
      </c>
      <c r="P59" s="16" t="e">
        <f t="shared" si="9"/>
        <v>#VALUE!</v>
      </c>
      <c r="Q59" s="16" t="e">
        <f t="shared" si="53"/>
        <v>#NUM!</v>
      </c>
      <c r="R59" s="16" t="e">
        <f t="shared" si="11"/>
        <v>#NUM!</v>
      </c>
      <c r="S59" s="16" t="e">
        <f t="shared" si="12"/>
        <v>#NUM!</v>
      </c>
      <c r="T59" s="16" t="e">
        <f t="shared" si="13"/>
        <v>#NUM!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#NUM!</v>
      </c>
      <c r="M60" s="16" t="e">
        <f t="shared" si="52"/>
        <v>#NUM!</v>
      </c>
      <c r="N60" s="16" t="e">
        <f t="shared" si="15"/>
        <v>#NUM!</v>
      </c>
      <c r="O60" s="16" t="e">
        <f t="shared" si="16"/>
        <v>#NUM!</v>
      </c>
      <c r="P60" s="16" t="e">
        <f t="shared" si="9"/>
        <v>#VALUE!</v>
      </c>
      <c r="Q60" s="16" t="e">
        <f t="shared" si="53"/>
        <v>#NUM!</v>
      </c>
      <c r="R60" s="16" t="e">
        <f t="shared" si="11"/>
        <v>#NUM!</v>
      </c>
      <c r="S60" s="16" t="e">
        <f t="shared" si="12"/>
        <v>#NUM!</v>
      </c>
      <c r="T60" s="16" t="e">
        <f t="shared" si="13"/>
        <v>#NUM!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#NUM!</v>
      </c>
      <c r="M61" s="16" t="e">
        <f t="shared" si="52"/>
        <v>#NUM!</v>
      </c>
      <c r="N61" s="16" t="e">
        <f t="shared" si="15"/>
        <v>#NUM!</v>
      </c>
      <c r="O61" s="16" t="e">
        <f t="shared" si="16"/>
        <v>#NUM!</v>
      </c>
      <c r="P61" s="16" t="e">
        <f t="shared" si="9"/>
        <v>#VALUE!</v>
      </c>
      <c r="Q61" s="16" t="e">
        <f t="shared" si="53"/>
        <v>#NUM!</v>
      </c>
      <c r="R61" s="16" t="e">
        <f t="shared" si="11"/>
        <v>#NUM!</v>
      </c>
      <c r="S61" s="16" t="e">
        <f t="shared" si="12"/>
        <v>#NUM!</v>
      </c>
      <c r="T61" s="16" t="e">
        <f t="shared" si="13"/>
        <v>#NUM!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#NUM!</v>
      </c>
      <c r="M62" s="16" t="e">
        <f t="shared" si="52"/>
        <v>#NUM!</v>
      </c>
      <c r="N62" s="16" t="e">
        <f t="shared" si="15"/>
        <v>#NUM!</v>
      </c>
      <c r="O62" s="16" t="e">
        <f t="shared" si="16"/>
        <v>#NUM!</v>
      </c>
      <c r="P62" s="16" t="e">
        <f t="shared" si="9"/>
        <v>#VALUE!</v>
      </c>
      <c r="Q62" s="16" t="e">
        <f t="shared" si="53"/>
        <v>#NUM!</v>
      </c>
      <c r="R62" s="16" t="e">
        <f t="shared" si="11"/>
        <v>#NUM!</v>
      </c>
      <c r="S62" s="16" t="e">
        <f t="shared" si="12"/>
        <v>#NUM!</v>
      </c>
      <c r="T62" s="16" t="e">
        <f t="shared" si="13"/>
        <v>#NUM!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#NUM!</v>
      </c>
      <c r="M63" s="16" t="e">
        <f t="shared" si="52"/>
        <v>#NUM!</v>
      </c>
      <c r="N63" s="16" t="e">
        <f t="shared" si="15"/>
        <v>#NUM!</v>
      </c>
      <c r="O63" s="16" t="e">
        <f t="shared" si="16"/>
        <v>#NUM!</v>
      </c>
      <c r="P63" s="16" t="e">
        <f t="shared" si="9"/>
        <v>#VALUE!</v>
      </c>
      <c r="Q63" s="16" t="e">
        <f t="shared" si="53"/>
        <v>#NUM!</v>
      </c>
      <c r="R63" s="16" t="e">
        <f t="shared" si="11"/>
        <v>#NUM!</v>
      </c>
      <c r="S63" s="16" t="e">
        <f t="shared" si="12"/>
        <v>#NUM!</v>
      </c>
      <c r="T63" s="16" t="e">
        <f t="shared" si="13"/>
        <v>#NUM!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#NUM!</v>
      </c>
      <c r="M64" s="16" t="e">
        <f t="shared" si="52"/>
        <v>#NUM!</v>
      </c>
      <c r="N64" s="16" t="e">
        <f t="shared" si="15"/>
        <v>#NUM!</v>
      </c>
      <c r="O64" s="16" t="e">
        <f t="shared" si="16"/>
        <v>#NUM!</v>
      </c>
      <c r="P64" s="16" t="e">
        <f t="shared" si="9"/>
        <v>#VALUE!</v>
      </c>
      <c r="Q64" s="16" t="e">
        <f t="shared" si="53"/>
        <v>#NUM!</v>
      </c>
      <c r="R64" s="16" t="e">
        <f t="shared" si="11"/>
        <v>#NUM!</v>
      </c>
      <c r="S64" s="16" t="e">
        <f t="shared" si="12"/>
        <v>#NUM!</v>
      </c>
      <c r="T64" s="16" t="e">
        <f t="shared" si="13"/>
        <v>#NUM!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#NUM!</v>
      </c>
      <c r="M65" s="16" t="e">
        <f t="shared" si="52"/>
        <v>#NUM!</v>
      </c>
      <c r="N65" s="16" t="e">
        <f t="shared" si="15"/>
        <v>#NUM!</v>
      </c>
      <c r="O65" s="16" t="e">
        <f t="shared" si="16"/>
        <v>#NUM!</v>
      </c>
      <c r="P65" s="16" t="e">
        <f t="shared" si="9"/>
        <v>#VALUE!</v>
      </c>
      <c r="Q65" s="16" t="e">
        <f t="shared" si="53"/>
        <v>#NUM!</v>
      </c>
      <c r="R65" s="16" t="e">
        <f t="shared" si="11"/>
        <v>#NUM!</v>
      </c>
      <c r="S65" s="16" t="e">
        <f t="shared" si="12"/>
        <v>#NUM!</v>
      </c>
      <c r="T65" s="16" t="e">
        <f t="shared" si="13"/>
        <v>#NUM!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#NUM!</v>
      </c>
      <c r="M66" s="16" t="e">
        <f t="shared" si="52"/>
        <v>#NUM!</v>
      </c>
      <c r="N66" s="16" t="e">
        <f t="shared" si="15"/>
        <v>#NUM!</v>
      </c>
      <c r="O66" s="16" t="e">
        <f t="shared" si="16"/>
        <v>#NUM!</v>
      </c>
      <c r="P66" s="16" t="e">
        <f t="shared" si="9"/>
        <v>#VALUE!</v>
      </c>
      <c r="Q66" s="16" t="e">
        <f t="shared" si="53"/>
        <v>#NUM!</v>
      </c>
      <c r="R66" s="16" t="e">
        <f t="shared" si="11"/>
        <v>#NUM!</v>
      </c>
      <c r="S66" s="16" t="e">
        <f t="shared" si="12"/>
        <v>#NUM!</v>
      </c>
      <c r="T66" s="16" t="e">
        <f t="shared" si="13"/>
        <v>#NUM!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#NUM!</v>
      </c>
      <c r="M67" s="16" t="e">
        <f t="shared" si="52"/>
        <v>#NUM!</v>
      </c>
      <c r="N67" s="16" t="e">
        <f t="shared" si="15"/>
        <v>#NUM!</v>
      </c>
      <c r="O67" s="16" t="e">
        <f t="shared" si="16"/>
        <v>#NUM!</v>
      </c>
      <c r="P67" s="16" t="e">
        <f t="shared" si="9"/>
        <v>#VALUE!</v>
      </c>
      <c r="Q67" s="16" t="e">
        <f t="shared" si="53"/>
        <v>#NUM!</v>
      </c>
      <c r="R67" s="16" t="e">
        <f t="shared" si="11"/>
        <v>#NUM!</v>
      </c>
      <c r="S67" s="16" t="e">
        <f t="shared" si="12"/>
        <v>#NUM!</v>
      </c>
      <c r="T67" s="16" t="e">
        <f t="shared" si="13"/>
        <v>#NUM!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#NUM!</v>
      </c>
      <c r="M68" s="16" t="e">
        <f t="shared" si="52"/>
        <v>#NUM!</v>
      </c>
      <c r="N68" s="16" t="e">
        <f t="shared" si="15"/>
        <v>#NUM!</v>
      </c>
      <c r="O68" s="16" t="e">
        <f t="shared" si="16"/>
        <v>#NUM!</v>
      </c>
      <c r="P68" s="16" t="e">
        <f t="shared" si="9"/>
        <v>#VALUE!</v>
      </c>
      <c r="Q68" s="16" t="e">
        <f t="shared" si="53"/>
        <v>#NUM!</v>
      </c>
      <c r="R68" s="16" t="e">
        <f t="shared" si="11"/>
        <v>#NUM!</v>
      </c>
      <c r="S68" s="16" t="e">
        <f t="shared" si="12"/>
        <v>#NUM!</v>
      </c>
      <c r="T68" s="16" t="e">
        <f t="shared" si="13"/>
        <v>#NUM!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#NUM!</v>
      </c>
      <c r="M69" s="16" t="e">
        <f t="shared" si="52"/>
        <v>#NUM!</v>
      </c>
      <c r="N69" s="16" t="e">
        <f t="shared" si="15"/>
        <v>#NUM!</v>
      </c>
      <c r="O69" s="16" t="e">
        <f t="shared" si="16"/>
        <v>#NUM!</v>
      </c>
      <c r="P69" s="16" t="e">
        <f t="shared" si="9"/>
        <v>#VALUE!</v>
      </c>
      <c r="Q69" s="16" t="e">
        <f t="shared" si="53"/>
        <v>#NUM!</v>
      </c>
      <c r="R69" s="16" t="e">
        <f t="shared" si="11"/>
        <v>#NUM!</v>
      </c>
      <c r="S69" s="16" t="e">
        <f t="shared" si="12"/>
        <v>#NUM!</v>
      </c>
      <c r="T69" s="16" t="e">
        <f t="shared" si="13"/>
        <v>#NUM!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#NUM!</v>
      </c>
      <c r="M70" s="16" t="e">
        <f t="shared" si="52"/>
        <v>#NUM!</v>
      </c>
      <c r="N70" s="16" t="e">
        <f t="shared" si="15"/>
        <v>#NUM!</v>
      </c>
      <c r="O70" s="16" t="e">
        <f t="shared" si="16"/>
        <v>#NUM!</v>
      </c>
      <c r="P70" s="16" t="e">
        <f t="shared" si="9"/>
        <v>#VALUE!</v>
      </c>
      <c r="Q70" s="16" t="e">
        <f t="shared" si="53"/>
        <v>#NUM!</v>
      </c>
      <c r="R70" s="16" t="e">
        <f t="shared" si="11"/>
        <v>#NUM!</v>
      </c>
      <c r="S70" s="16" t="e">
        <f t="shared" si="12"/>
        <v>#NUM!</v>
      </c>
      <c r="T70" s="16" t="e">
        <f t="shared" si="13"/>
        <v>#NUM!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#NUM!</v>
      </c>
      <c r="M71" s="16" t="e">
        <f t="shared" si="52"/>
        <v>#NUM!</v>
      </c>
      <c r="N71" s="16" t="e">
        <f t="shared" si="15"/>
        <v>#NUM!</v>
      </c>
      <c r="O71" s="16" t="e">
        <f t="shared" si="16"/>
        <v>#NUM!</v>
      </c>
      <c r="P71" s="16" t="e">
        <f t="shared" si="9"/>
        <v>#VALUE!</v>
      </c>
      <c r="Q71" s="16" t="e">
        <f t="shared" si="53"/>
        <v>#NUM!</v>
      </c>
      <c r="R71" s="16" t="e">
        <f t="shared" si="11"/>
        <v>#NUM!</v>
      </c>
      <c r="S71" s="16" t="e">
        <f t="shared" si="12"/>
        <v>#NUM!</v>
      </c>
      <c r="T71" s="16" t="e">
        <f t="shared" si="13"/>
        <v>#NUM!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#NUM!</v>
      </c>
      <c r="M72" s="16" t="e">
        <f t="shared" si="52"/>
        <v>#NUM!</v>
      </c>
      <c r="N72" s="16" t="e">
        <f t="shared" si="15"/>
        <v>#NUM!</v>
      </c>
      <c r="O72" s="16" t="e">
        <f t="shared" si="16"/>
        <v>#NUM!</v>
      </c>
      <c r="P72" s="16" t="e">
        <f t="shared" si="9"/>
        <v>#VALUE!</v>
      </c>
      <c r="Q72" s="16" t="e">
        <f t="shared" si="53"/>
        <v>#NUM!</v>
      </c>
      <c r="R72" s="16" t="e">
        <f t="shared" si="11"/>
        <v>#NUM!</v>
      </c>
      <c r="S72" s="16" t="e">
        <f t="shared" si="12"/>
        <v>#NUM!</v>
      </c>
      <c r="T72" s="16" t="e">
        <f t="shared" si="13"/>
        <v>#NUM!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#NUM!</v>
      </c>
      <c r="M73" s="16" t="e">
        <f t="shared" si="52"/>
        <v>#NUM!</v>
      </c>
      <c r="N73" s="16" t="e">
        <f t="shared" si="15"/>
        <v>#NUM!</v>
      </c>
      <c r="O73" s="16" t="e">
        <f t="shared" si="16"/>
        <v>#NUM!</v>
      </c>
      <c r="P73" s="16" t="e">
        <f t="shared" si="9"/>
        <v>#VALUE!</v>
      </c>
      <c r="Q73" s="16" t="e">
        <f t="shared" si="53"/>
        <v>#NUM!</v>
      </c>
      <c r="R73" s="16" t="e">
        <f t="shared" si="11"/>
        <v>#NUM!</v>
      </c>
      <c r="S73" s="16" t="e">
        <f t="shared" si="12"/>
        <v>#NUM!</v>
      </c>
      <c r="T73" s="16" t="e">
        <f t="shared" si="13"/>
        <v>#NUM!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#NUM!</v>
      </c>
      <c r="M74" s="16" t="e">
        <f t="shared" ref="M74:M100" si="90">1/(1+((64*PI()^3)/(3*9.81^2))*((S74*L73*(A74-A73))/(H74^2))*((H74^2)/($E$9^4))*(((L74/L73)^2)/(SINH(2*PI()*H74/AQ73))^3))</f>
        <v>#NUM!</v>
      </c>
      <c r="N74" s="16" t="e">
        <f t="shared" si="15"/>
        <v>#NUM!</v>
      </c>
      <c r="O74" s="16" t="e">
        <f t="shared" si="16"/>
        <v>#NUM!</v>
      </c>
      <c r="P74" s="16" t="e">
        <f t="shared" ref="P74:P100" si="91">K74/M74</f>
        <v>#VALUE!</v>
      </c>
      <c r="Q74" s="16" t="e">
        <f t="shared" ref="Q74:Q100" si="92">($E$9*R74)/(2*PI())</f>
        <v>#NUM!</v>
      </c>
      <c r="R74" s="16" t="e">
        <f t="shared" ref="R74:R100" si="93">(O73/2)*SQRT(9.81/H74)</f>
        <v>#NUM!</v>
      </c>
      <c r="S74" s="16" t="e">
        <f t="shared" ref="S74:S100" si="94">EXP((5.213*((2.5*$I$6)/Q74)^0.195)-5.977)</f>
        <v>#NUM!</v>
      </c>
      <c r="T74" s="16" t="e">
        <f t="shared" ref="T74:T100" si="95">O74/H74</f>
        <v>#NUM!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#NUM!</v>
      </c>
      <c r="M75" s="16" t="e">
        <f t="shared" si="90"/>
        <v>#NUM!</v>
      </c>
      <c r="N75" s="16" t="e">
        <f t="shared" ref="N75:N100" si="97">M75*L75</f>
        <v>#NUM!</v>
      </c>
      <c r="O75" s="16" t="e">
        <f t="shared" ref="O75:O100" si="98">IF(N75/H75&gt;0.66,0.66*H75,N75)</f>
        <v>#NUM!</v>
      </c>
      <c r="P75" s="16" t="e">
        <f t="shared" si="91"/>
        <v>#VALUE!</v>
      </c>
      <c r="Q75" s="16" t="e">
        <f t="shared" si="92"/>
        <v>#NUM!</v>
      </c>
      <c r="R75" s="16" t="e">
        <f t="shared" si="93"/>
        <v>#NUM!</v>
      </c>
      <c r="S75" s="16" t="e">
        <f t="shared" si="94"/>
        <v>#NUM!</v>
      </c>
      <c r="T75" s="16" t="e">
        <f t="shared" si="95"/>
        <v>#NUM!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#NUM!</v>
      </c>
      <c r="M76" s="16" t="e">
        <f t="shared" si="90"/>
        <v>#NUM!</v>
      </c>
      <c r="N76" s="16" t="e">
        <f t="shared" si="97"/>
        <v>#NUM!</v>
      </c>
      <c r="O76" s="16" t="e">
        <f t="shared" si="98"/>
        <v>#NUM!</v>
      </c>
      <c r="P76" s="16" t="e">
        <f t="shared" si="91"/>
        <v>#VALUE!</v>
      </c>
      <c r="Q76" s="16" t="e">
        <f t="shared" si="92"/>
        <v>#NUM!</v>
      </c>
      <c r="R76" s="16" t="e">
        <f t="shared" si="93"/>
        <v>#NUM!</v>
      </c>
      <c r="S76" s="16" t="e">
        <f t="shared" si="94"/>
        <v>#NUM!</v>
      </c>
      <c r="T76" s="16" t="e">
        <f t="shared" si="95"/>
        <v>#NUM!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#NUM!</v>
      </c>
      <c r="M77" s="16" t="e">
        <f t="shared" si="90"/>
        <v>#NUM!</v>
      </c>
      <c r="N77" s="16" t="e">
        <f t="shared" si="97"/>
        <v>#NUM!</v>
      </c>
      <c r="O77" s="16" t="e">
        <f t="shared" si="98"/>
        <v>#NUM!</v>
      </c>
      <c r="P77" s="16" t="e">
        <f t="shared" si="91"/>
        <v>#VALUE!</v>
      </c>
      <c r="Q77" s="16" t="e">
        <f t="shared" si="92"/>
        <v>#NUM!</v>
      </c>
      <c r="R77" s="16" t="e">
        <f t="shared" si="93"/>
        <v>#NUM!</v>
      </c>
      <c r="S77" s="16" t="e">
        <f t="shared" si="94"/>
        <v>#NUM!</v>
      </c>
      <c r="T77" s="16" t="e">
        <f t="shared" si="95"/>
        <v>#NUM!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#NUM!</v>
      </c>
      <c r="M78" s="16" t="e">
        <f t="shared" si="90"/>
        <v>#NUM!</v>
      </c>
      <c r="N78" s="16" t="e">
        <f t="shared" si="97"/>
        <v>#NUM!</v>
      </c>
      <c r="O78" s="16" t="e">
        <f t="shared" si="98"/>
        <v>#NUM!</v>
      </c>
      <c r="P78" s="16" t="e">
        <f t="shared" si="91"/>
        <v>#VALUE!</v>
      </c>
      <c r="Q78" s="16" t="e">
        <f t="shared" si="92"/>
        <v>#NUM!</v>
      </c>
      <c r="R78" s="16" t="e">
        <f t="shared" si="93"/>
        <v>#NUM!</v>
      </c>
      <c r="S78" s="16" t="e">
        <f t="shared" si="94"/>
        <v>#NUM!</v>
      </c>
      <c r="T78" s="16" t="e">
        <f t="shared" si="95"/>
        <v>#NUM!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#NUM!</v>
      </c>
      <c r="M79" s="16" t="e">
        <f t="shared" si="90"/>
        <v>#NUM!</v>
      </c>
      <c r="N79" s="16" t="e">
        <f t="shared" si="97"/>
        <v>#NUM!</v>
      </c>
      <c r="O79" s="16" t="e">
        <f t="shared" si="98"/>
        <v>#NUM!</v>
      </c>
      <c r="P79" s="16" t="e">
        <f t="shared" si="91"/>
        <v>#VALUE!</v>
      </c>
      <c r="Q79" s="16" t="e">
        <f t="shared" si="92"/>
        <v>#NUM!</v>
      </c>
      <c r="R79" s="16" t="e">
        <f t="shared" si="93"/>
        <v>#NUM!</v>
      </c>
      <c r="S79" s="16" t="e">
        <f t="shared" si="94"/>
        <v>#NUM!</v>
      </c>
      <c r="T79" s="16" t="e">
        <f t="shared" si="95"/>
        <v>#NUM!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#NUM!</v>
      </c>
      <c r="M80" s="16" t="e">
        <f t="shared" si="90"/>
        <v>#NUM!</v>
      </c>
      <c r="N80" s="16" t="e">
        <f t="shared" si="97"/>
        <v>#NUM!</v>
      </c>
      <c r="O80" s="16" t="e">
        <f t="shared" si="98"/>
        <v>#NUM!</v>
      </c>
      <c r="P80" s="16" t="e">
        <f t="shared" si="91"/>
        <v>#VALUE!</v>
      </c>
      <c r="Q80" s="16" t="e">
        <f t="shared" si="92"/>
        <v>#NUM!</v>
      </c>
      <c r="R80" s="16" t="e">
        <f t="shared" si="93"/>
        <v>#NUM!</v>
      </c>
      <c r="S80" s="16" t="e">
        <f t="shared" si="94"/>
        <v>#NUM!</v>
      </c>
      <c r="T80" s="16" t="e">
        <f t="shared" si="95"/>
        <v>#NUM!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#NUM!</v>
      </c>
      <c r="M81" s="16" t="e">
        <f t="shared" si="90"/>
        <v>#NUM!</v>
      </c>
      <c r="N81" s="16" t="e">
        <f t="shared" si="97"/>
        <v>#NUM!</v>
      </c>
      <c r="O81" s="16" t="e">
        <f t="shared" si="98"/>
        <v>#NUM!</v>
      </c>
      <c r="P81" s="16" t="e">
        <f t="shared" si="91"/>
        <v>#VALUE!</v>
      </c>
      <c r="Q81" s="16" t="e">
        <f t="shared" si="92"/>
        <v>#NUM!</v>
      </c>
      <c r="R81" s="16" t="e">
        <f t="shared" si="93"/>
        <v>#NUM!</v>
      </c>
      <c r="S81" s="16" t="e">
        <f t="shared" si="94"/>
        <v>#NUM!</v>
      </c>
      <c r="T81" s="16" t="e">
        <f t="shared" si="95"/>
        <v>#NUM!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#NUM!</v>
      </c>
      <c r="M82" s="16" t="e">
        <f t="shared" si="90"/>
        <v>#NUM!</v>
      </c>
      <c r="N82" s="16" t="e">
        <f t="shared" si="97"/>
        <v>#NUM!</v>
      </c>
      <c r="O82" s="16" t="e">
        <f t="shared" si="98"/>
        <v>#NUM!</v>
      </c>
      <c r="P82" s="16" t="e">
        <f t="shared" si="91"/>
        <v>#VALUE!</v>
      </c>
      <c r="Q82" s="16" t="e">
        <f t="shared" si="92"/>
        <v>#NUM!</v>
      </c>
      <c r="R82" s="16" t="e">
        <f t="shared" si="93"/>
        <v>#NUM!</v>
      </c>
      <c r="S82" s="16" t="e">
        <f t="shared" si="94"/>
        <v>#NUM!</v>
      </c>
      <c r="T82" s="16" t="e">
        <f t="shared" si="95"/>
        <v>#NUM!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#NUM!</v>
      </c>
      <c r="M83" s="16" t="e">
        <f t="shared" si="90"/>
        <v>#NUM!</v>
      </c>
      <c r="N83" s="16" t="e">
        <f t="shared" si="97"/>
        <v>#NUM!</v>
      </c>
      <c r="O83" s="16" t="e">
        <f t="shared" si="98"/>
        <v>#NUM!</v>
      </c>
      <c r="P83" s="16" t="e">
        <f t="shared" si="91"/>
        <v>#VALUE!</v>
      </c>
      <c r="Q83" s="16" t="e">
        <f t="shared" si="92"/>
        <v>#NUM!</v>
      </c>
      <c r="R83" s="16" t="e">
        <f t="shared" si="93"/>
        <v>#NUM!</v>
      </c>
      <c r="S83" s="16" t="e">
        <f t="shared" si="94"/>
        <v>#NUM!</v>
      </c>
      <c r="T83" s="16" t="e">
        <f t="shared" si="95"/>
        <v>#NUM!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#NUM!</v>
      </c>
      <c r="M84" s="16" t="e">
        <f t="shared" si="90"/>
        <v>#NUM!</v>
      </c>
      <c r="N84" s="16" t="e">
        <f t="shared" si="97"/>
        <v>#NUM!</v>
      </c>
      <c r="O84" s="16" t="e">
        <f t="shared" si="98"/>
        <v>#NUM!</v>
      </c>
      <c r="P84" s="16" t="e">
        <f t="shared" si="91"/>
        <v>#VALUE!</v>
      </c>
      <c r="Q84" s="16" t="e">
        <f t="shared" si="92"/>
        <v>#NUM!</v>
      </c>
      <c r="R84" s="16" t="e">
        <f t="shared" si="93"/>
        <v>#NUM!</v>
      </c>
      <c r="S84" s="16" t="e">
        <f t="shared" si="94"/>
        <v>#NUM!</v>
      </c>
      <c r="T84" s="16" t="e">
        <f t="shared" si="95"/>
        <v>#NUM!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#NUM!</v>
      </c>
      <c r="M85" s="16" t="e">
        <f t="shared" si="90"/>
        <v>#NUM!</v>
      </c>
      <c r="N85" s="16" t="e">
        <f t="shared" si="97"/>
        <v>#NUM!</v>
      </c>
      <c r="O85" s="16" t="e">
        <f t="shared" si="98"/>
        <v>#NUM!</v>
      </c>
      <c r="P85" s="16" t="e">
        <f t="shared" si="91"/>
        <v>#VALUE!</v>
      </c>
      <c r="Q85" s="16" t="e">
        <f t="shared" si="92"/>
        <v>#NUM!</v>
      </c>
      <c r="R85" s="16" t="e">
        <f t="shared" si="93"/>
        <v>#NUM!</v>
      </c>
      <c r="S85" s="16" t="e">
        <f t="shared" si="94"/>
        <v>#NUM!</v>
      </c>
      <c r="T85" s="16" t="e">
        <f t="shared" si="95"/>
        <v>#NUM!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#NUM!</v>
      </c>
      <c r="M86" s="16" t="e">
        <f t="shared" si="90"/>
        <v>#NUM!</v>
      </c>
      <c r="N86" s="16" t="e">
        <f t="shared" si="97"/>
        <v>#NUM!</v>
      </c>
      <c r="O86" s="16" t="e">
        <f t="shared" si="98"/>
        <v>#NUM!</v>
      </c>
      <c r="P86" s="16" t="e">
        <f t="shared" si="91"/>
        <v>#VALUE!</v>
      </c>
      <c r="Q86" s="16" t="e">
        <f t="shared" si="92"/>
        <v>#NUM!</v>
      </c>
      <c r="R86" s="16" t="e">
        <f t="shared" si="93"/>
        <v>#NUM!</v>
      </c>
      <c r="S86" s="16" t="e">
        <f t="shared" si="94"/>
        <v>#NUM!</v>
      </c>
      <c r="T86" s="16" t="e">
        <f t="shared" si="95"/>
        <v>#NUM!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#NUM!</v>
      </c>
      <c r="M87" s="16" t="e">
        <f t="shared" si="90"/>
        <v>#NUM!</v>
      </c>
      <c r="N87" s="16" t="e">
        <f t="shared" si="97"/>
        <v>#NUM!</v>
      </c>
      <c r="O87" s="16" t="e">
        <f t="shared" si="98"/>
        <v>#NUM!</v>
      </c>
      <c r="P87" s="16" t="e">
        <f t="shared" si="91"/>
        <v>#VALUE!</v>
      </c>
      <c r="Q87" s="16" t="e">
        <f t="shared" si="92"/>
        <v>#NUM!</v>
      </c>
      <c r="R87" s="16" t="e">
        <f t="shared" si="93"/>
        <v>#NUM!</v>
      </c>
      <c r="S87" s="16" t="e">
        <f t="shared" si="94"/>
        <v>#NUM!</v>
      </c>
      <c r="T87" s="16" t="e">
        <f t="shared" si="95"/>
        <v>#NUM!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#NUM!</v>
      </c>
      <c r="M88" s="16" t="e">
        <f t="shared" si="90"/>
        <v>#NUM!</v>
      </c>
      <c r="N88" s="16" t="e">
        <f t="shared" si="97"/>
        <v>#NUM!</v>
      </c>
      <c r="O88" s="16" t="e">
        <f t="shared" si="98"/>
        <v>#NUM!</v>
      </c>
      <c r="P88" s="16" t="e">
        <f t="shared" si="91"/>
        <v>#VALUE!</v>
      </c>
      <c r="Q88" s="16" t="e">
        <f t="shared" si="92"/>
        <v>#NUM!</v>
      </c>
      <c r="R88" s="16" t="e">
        <f t="shared" si="93"/>
        <v>#NUM!</v>
      </c>
      <c r="S88" s="16" t="e">
        <f t="shared" si="94"/>
        <v>#NUM!</v>
      </c>
      <c r="T88" s="16" t="e">
        <f t="shared" si="95"/>
        <v>#NUM!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#NUM!</v>
      </c>
      <c r="M89" s="16" t="e">
        <f t="shared" si="90"/>
        <v>#NUM!</v>
      </c>
      <c r="N89" s="16" t="e">
        <f t="shared" si="97"/>
        <v>#NUM!</v>
      </c>
      <c r="O89" s="16" t="e">
        <f t="shared" si="98"/>
        <v>#NUM!</v>
      </c>
      <c r="P89" s="16" t="e">
        <f t="shared" si="91"/>
        <v>#VALUE!</v>
      </c>
      <c r="Q89" s="16" t="e">
        <f t="shared" si="92"/>
        <v>#NUM!</v>
      </c>
      <c r="R89" s="16" t="e">
        <f t="shared" si="93"/>
        <v>#NUM!</v>
      </c>
      <c r="S89" s="16" t="e">
        <f t="shared" si="94"/>
        <v>#NUM!</v>
      </c>
      <c r="T89" s="16" t="e">
        <f t="shared" si="95"/>
        <v>#NUM!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#NUM!</v>
      </c>
      <c r="M90" s="16" t="e">
        <f t="shared" si="90"/>
        <v>#NUM!</v>
      </c>
      <c r="N90" s="16" t="e">
        <f t="shared" si="97"/>
        <v>#NUM!</v>
      </c>
      <c r="O90" s="16" t="e">
        <f t="shared" si="98"/>
        <v>#NUM!</v>
      </c>
      <c r="P90" s="16" t="e">
        <f t="shared" si="91"/>
        <v>#VALUE!</v>
      </c>
      <c r="Q90" s="16" t="e">
        <f t="shared" si="92"/>
        <v>#NUM!</v>
      </c>
      <c r="R90" s="16" t="e">
        <f t="shared" si="93"/>
        <v>#NUM!</v>
      </c>
      <c r="S90" s="16" t="e">
        <f t="shared" si="94"/>
        <v>#NUM!</v>
      </c>
      <c r="T90" s="16" t="e">
        <f t="shared" si="95"/>
        <v>#NUM!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#NUM!</v>
      </c>
      <c r="M91" s="16" t="e">
        <f t="shared" si="90"/>
        <v>#NUM!</v>
      </c>
      <c r="N91" s="16" t="e">
        <f t="shared" si="97"/>
        <v>#NUM!</v>
      </c>
      <c r="O91" s="16" t="e">
        <f t="shared" si="98"/>
        <v>#NUM!</v>
      </c>
      <c r="P91" s="16" t="e">
        <f t="shared" si="91"/>
        <v>#VALUE!</v>
      </c>
      <c r="Q91" s="16" t="e">
        <f t="shared" si="92"/>
        <v>#NUM!</v>
      </c>
      <c r="R91" s="16" t="e">
        <f t="shared" si="93"/>
        <v>#NUM!</v>
      </c>
      <c r="S91" s="16" t="e">
        <f t="shared" si="94"/>
        <v>#NUM!</v>
      </c>
      <c r="T91" s="16" t="e">
        <f t="shared" si="95"/>
        <v>#NUM!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#NUM!</v>
      </c>
      <c r="M92" s="16" t="e">
        <f t="shared" si="90"/>
        <v>#NUM!</v>
      </c>
      <c r="N92" s="16" t="e">
        <f t="shared" si="97"/>
        <v>#NUM!</v>
      </c>
      <c r="O92" s="16" t="e">
        <f t="shared" si="98"/>
        <v>#NUM!</v>
      </c>
      <c r="P92" s="16" t="e">
        <f t="shared" si="91"/>
        <v>#VALUE!</v>
      </c>
      <c r="Q92" s="16" t="e">
        <f t="shared" si="92"/>
        <v>#NUM!</v>
      </c>
      <c r="R92" s="16" t="e">
        <f t="shared" si="93"/>
        <v>#NUM!</v>
      </c>
      <c r="S92" s="16" t="e">
        <f t="shared" si="94"/>
        <v>#NUM!</v>
      </c>
      <c r="T92" s="16" t="e">
        <f t="shared" si="95"/>
        <v>#NUM!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#NUM!</v>
      </c>
      <c r="M93" s="16" t="e">
        <f t="shared" si="90"/>
        <v>#NUM!</v>
      </c>
      <c r="N93" s="16" t="e">
        <f t="shared" si="97"/>
        <v>#NUM!</v>
      </c>
      <c r="O93" s="16" t="e">
        <f t="shared" si="98"/>
        <v>#NUM!</v>
      </c>
      <c r="P93" s="16" t="e">
        <f t="shared" si="91"/>
        <v>#VALUE!</v>
      </c>
      <c r="Q93" s="16" t="e">
        <f t="shared" si="92"/>
        <v>#NUM!</v>
      </c>
      <c r="R93" s="16" t="e">
        <f t="shared" si="93"/>
        <v>#NUM!</v>
      </c>
      <c r="S93" s="16" t="e">
        <f t="shared" si="94"/>
        <v>#NUM!</v>
      </c>
      <c r="T93" s="16" t="e">
        <f t="shared" si="95"/>
        <v>#NUM!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#NUM!</v>
      </c>
      <c r="M94" s="16" t="e">
        <f t="shared" si="90"/>
        <v>#NUM!</v>
      </c>
      <c r="N94" s="16" t="e">
        <f t="shared" si="97"/>
        <v>#NUM!</v>
      </c>
      <c r="O94" s="16" t="e">
        <f t="shared" si="98"/>
        <v>#NUM!</v>
      </c>
      <c r="P94" s="16" t="e">
        <f t="shared" si="91"/>
        <v>#VALUE!</v>
      </c>
      <c r="Q94" s="16" t="e">
        <f t="shared" si="92"/>
        <v>#NUM!</v>
      </c>
      <c r="R94" s="16" t="e">
        <f t="shared" si="93"/>
        <v>#NUM!</v>
      </c>
      <c r="S94" s="16" t="e">
        <f t="shared" si="94"/>
        <v>#NUM!</v>
      </c>
      <c r="T94" s="16" t="e">
        <f t="shared" si="95"/>
        <v>#NUM!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#NUM!</v>
      </c>
      <c r="M95" s="16" t="e">
        <f t="shared" si="90"/>
        <v>#NUM!</v>
      </c>
      <c r="N95" s="16" t="e">
        <f t="shared" si="97"/>
        <v>#NUM!</v>
      </c>
      <c r="O95" s="16" t="e">
        <f t="shared" si="98"/>
        <v>#NUM!</v>
      </c>
      <c r="P95" s="16" t="e">
        <f t="shared" si="91"/>
        <v>#VALUE!</v>
      </c>
      <c r="Q95" s="16" t="e">
        <f t="shared" si="92"/>
        <v>#NUM!</v>
      </c>
      <c r="R95" s="16" t="e">
        <f t="shared" si="93"/>
        <v>#NUM!</v>
      </c>
      <c r="S95" s="16" t="e">
        <f t="shared" si="94"/>
        <v>#NUM!</v>
      </c>
      <c r="T95" s="16" t="e">
        <f t="shared" si="95"/>
        <v>#NUM!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#NUM!</v>
      </c>
      <c r="M96" s="16" t="e">
        <f t="shared" si="90"/>
        <v>#NUM!</v>
      </c>
      <c r="N96" s="16" t="e">
        <f t="shared" si="97"/>
        <v>#NUM!</v>
      </c>
      <c r="O96" s="16" t="e">
        <f t="shared" si="98"/>
        <v>#NUM!</v>
      </c>
      <c r="P96" s="16" t="e">
        <f t="shared" si="91"/>
        <v>#VALUE!</v>
      </c>
      <c r="Q96" s="16" t="e">
        <f t="shared" si="92"/>
        <v>#NUM!</v>
      </c>
      <c r="R96" s="16" t="e">
        <f t="shared" si="93"/>
        <v>#NUM!</v>
      </c>
      <c r="S96" s="16" t="e">
        <f t="shared" si="94"/>
        <v>#NUM!</v>
      </c>
      <c r="T96" s="16" t="e">
        <f t="shared" si="95"/>
        <v>#NUM!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#NUM!</v>
      </c>
      <c r="M97" s="16" t="e">
        <f t="shared" si="90"/>
        <v>#NUM!</v>
      </c>
      <c r="N97" s="16" t="e">
        <f t="shared" si="97"/>
        <v>#NUM!</v>
      </c>
      <c r="O97" s="16" t="e">
        <f t="shared" si="98"/>
        <v>#NUM!</v>
      </c>
      <c r="P97" s="16" t="e">
        <f t="shared" si="91"/>
        <v>#VALUE!</v>
      </c>
      <c r="Q97" s="16" t="e">
        <f t="shared" si="92"/>
        <v>#NUM!</v>
      </c>
      <c r="R97" s="16" t="e">
        <f t="shared" si="93"/>
        <v>#NUM!</v>
      </c>
      <c r="S97" s="16" t="e">
        <f t="shared" si="94"/>
        <v>#NUM!</v>
      </c>
      <c r="T97" s="16" t="e">
        <f t="shared" si="95"/>
        <v>#NUM!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#NUM!</v>
      </c>
      <c r="M98" s="16" t="e">
        <f t="shared" si="90"/>
        <v>#NUM!</v>
      </c>
      <c r="N98" s="16" t="e">
        <f t="shared" si="97"/>
        <v>#NUM!</v>
      </c>
      <c r="O98" s="16" t="e">
        <f t="shared" si="98"/>
        <v>#NUM!</v>
      </c>
      <c r="P98" s="16" t="e">
        <f t="shared" si="91"/>
        <v>#VALUE!</v>
      </c>
      <c r="Q98" s="16" t="e">
        <f t="shared" si="92"/>
        <v>#NUM!</v>
      </c>
      <c r="R98" s="16" t="e">
        <f t="shared" si="93"/>
        <v>#NUM!</v>
      </c>
      <c r="S98" s="16" t="e">
        <f t="shared" si="94"/>
        <v>#NUM!</v>
      </c>
      <c r="T98" s="16" t="e">
        <f t="shared" si="95"/>
        <v>#NUM!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#NUM!</v>
      </c>
      <c r="M99" s="16" t="e">
        <f t="shared" si="90"/>
        <v>#NUM!</v>
      </c>
      <c r="N99" s="16" t="e">
        <f t="shared" si="97"/>
        <v>#NUM!</v>
      </c>
      <c r="O99" s="16" t="e">
        <f t="shared" si="98"/>
        <v>#NUM!</v>
      </c>
      <c r="P99" s="16" t="e">
        <f t="shared" si="91"/>
        <v>#VALUE!</v>
      </c>
      <c r="Q99" s="16" t="e">
        <f t="shared" si="92"/>
        <v>#NUM!</v>
      </c>
      <c r="R99" s="16" t="e">
        <f t="shared" si="93"/>
        <v>#NUM!</v>
      </c>
      <c r="S99" s="16" t="e">
        <f t="shared" si="94"/>
        <v>#NUM!</v>
      </c>
      <c r="T99" s="16" t="e">
        <f t="shared" si="95"/>
        <v>#NUM!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#NUM!</v>
      </c>
      <c r="M100" s="16" t="e">
        <f t="shared" si="90"/>
        <v>#NUM!</v>
      </c>
      <c r="N100" s="16" t="e">
        <f t="shared" si="97"/>
        <v>#NUM!</v>
      </c>
      <c r="O100" s="16" t="e">
        <f t="shared" si="98"/>
        <v>#NUM!</v>
      </c>
      <c r="P100" s="16" t="e">
        <f t="shared" si="91"/>
        <v>#VALUE!</v>
      </c>
      <c r="Q100" s="16" t="e">
        <f t="shared" si="92"/>
        <v>#NUM!</v>
      </c>
      <c r="R100" s="16" t="e">
        <f t="shared" si="93"/>
        <v>#NUM!</v>
      </c>
      <c r="S100" s="16" t="e">
        <f t="shared" si="94"/>
        <v>#NUM!</v>
      </c>
      <c r="T100" s="16" t="e">
        <f t="shared" si="95"/>
        <v>#NUM!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2014-12-16T05:41:09Z</dcterms:modified>
</cp:coreProperties>
</file>